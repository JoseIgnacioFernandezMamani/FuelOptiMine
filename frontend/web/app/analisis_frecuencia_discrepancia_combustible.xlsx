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\FuelOptiMine\frontend\web\app\"/>
    </mc:Choice>
  </mc:AlternateContent>
  <xr:revisionPtr revIDLastSave="0" documentId="13_ncr:1_{83AC5F59-9C77-4044-942C-627529398FDF}" xr6:coauthVersionLast="47" xr6:coauthVersionMax="47" xr10:uidLastSave="{00000000-0000-0000-0000-000000000000}"/>
  <bookViews>
    <workbookView xWindow="-108" yWindow="-108" windowWidth="23256" windowHeight="12456" activeTab="4" xr2:uid="{7CCE9A0B-2825-43BC-B7A8-B67F7FB503E1}"/>
  </bookViews>
  <sheets>
    <sheet name="datos_crudos" sheetId="3" r:id="rId1"/>
    <sheet name="tabla_frecuencias" sheetId="1" r:id="rId2"/>
    <sheet name="grafica_frecuencias" sheetId="2" r:id="rId3"/>
    <sheet name="tabla_f_tiempo" sheetId="4" r:id="rId4"/>
    <sheet name="graficas_tiemp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2" i="5"/>
  <c r="E2" i="5"/>
  <c r="E3" i="5" s="1"/>
  <c r="E4" i="5" s="1"/>
  <c r="E5" i="5" s="1"/>
  <c r="E6" i="5" s="1"/>
  <c r="E7" i="5" s="1"/>
  <c r="E8" i="5" s="1"/>
  <c r="E9" i="5" s="1"/>
  <c r="E10" i="5" s="1"/>
  <c r="E11" i="5" s="1"/>
  <c r="C3" i="5"/>
  <c r="C4" i="5"/>
  <c r="C5" i="5"/>
  <c r="C6" i="5"/>
  <c r="C7" i="5"/>
  <c r="C8" i="5"/>
  <c r="C9" i="5"/>
  <c r="C10" i="5"/>
  <c r="C11" i="5"/>
  <c r="C2" i="5"/>
  <c r="I9" i="4"/>
  <c r="I8" i="4"/>
  <c r="I6" i="4"/>
  <c r="I5" i="4"/>
  <c r="I4" i="4"/>
  <c r="I3" i="4"/>
  <c r="H12" i="4"/>
  <c r="H11" i="4"/>
  <c r="H10" i="4"/>
  <c r="H9" i="4"/>
  <c r="H7" i="4"/>
  <c r="H6" i="4"/>
  <c r="H5" i="4"/>
  <c r="I7" i="4"/>
  <c r="H8" i="4" s="1"/>
  <c r="I10" i="4" s="1"/>
  <c r="I11" i="4" s="1"/>
  <c r="I12" i="4" s="1"/>
  <c r="H4" i="4"/>
  <c r="H3" i="4"/>
  <c r="E7" i="4"/>
  <c r="E6" i="4"/>
  <c r="E5" i="4"/>
  <c r="E4" i="4"/>
  <c r="E3" i="4"/>
  <c r="E2" i="4"/>
  <c r="E3" i="2"/>
  <c r="E4" i="2" s="1"/>
  <c r="E5" i="2" s="1"/>
  <c r="E6" i="2" s="1"/>
  <c r="E7" i="2" s="1"/>
  <c r="E8" i="2" s="1"/>
  <c r="E9" i="2" s="1"/>
  <c r="E10" i="2" s="1"/>
  <c r="E11" i="2" s="1"/>
  <c r="E2" i="2"/>
  <c r="C3" i="2"/>
  <c r="C4" i="2"/>
  <c r="C5" i="2"/>
  <c r="C6" i="2"/>
  <c r="C7" i="2"/>
  <c r="C8" i="2"/>
  <c r="C9" i="2"/>
  <c r="C10" i="2"/>
  <c r="C11" i="2"/>
  <c r="C2" i="2"/>
  <c r="F3" i="2" l="1"/>
  <c r="F4" i="2"/>
  <c r="F5" i="2"/>
  <c r="F6" i="2"/>
  <c r="F7" i="2"/>
  <c r="F8" i="2"/>
  <c r="F9" i="2"/>
  <c r="F11" i="2"/>
  <c r="F2" i="2"/>
  <c r="F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5BE64-BDF1-49EE-B3D8-98FDCEBD1FBC}" keepAlive="1" name="Query - [jmineops] [dbo] [equipment]" description="Connection to the '[jmineops] [dbo] [equipment]' query in the workbook." type="5" refreshedVersion="0" background="1">
    <dbPr connection="Provider=Microsoft.Mashup.OleDb.1;Data Source=$Workbook$;Location=&quot;[jmineops] [dbo] [equipment]&quot;;Extended Properties=&quot;&quot;" command="SELECT * FROM [[jmineops]] [dbo]] [equipment]]]"/>
  </connection>
  <connection id="2" xr16:uid="{4E3E9C35-C6C5-43A4-BADE-0DEDFC35C3AE}" keepAlive="1" name="Query - maintanence" description="Connection to the 'maintanence' query in the workbook." type="5" refreshedVersion="0" background="1">
    <dbPr connection="Provider=Microsoft.Mashup.OleDb.1;Data Source=$Workbook$;Location=maintanence;Extended Properties=&quot;&quot;" command="SELECT * FROM [maintanence]"/>
  </connection>
</connections>
</file>

<file path=xl/sharedStrings.xml><?xml version="1.0" encoding="utf-8"?>
<sst xmlns="http://schemas.openxmlformats.org/spreadsheetml/2006/main" count="293" uniqueCount="273">
  <si>
    <t>Fuel_Discrepancy</t>
  </si>
  <si>
    <t>CALCULOS PREVIOS</t>
  </si>
  <si>
    <t>n clases</t>
  </si>
  <si>
    <t>limite inferior</t>
  </si>
  <si>
    <t>limite superior</t>
  </si>
  <si>
    <t>N DATOS</t>
  </si>
  <si>
    <t>LIMITE INF</t>
  </si>
  <si>
    <t>LIMITE SUP</t>
  </si>
  <si>
    <t>rango</t>
  </si>
  <si>
    <t>amplitud</t>
  </si>
  <si>
    <t>More</t>
  </si>
  <si>
    <t>Frequency</t>
  </si>
  <si>
    <t>Cumulative %</t>
  </si>
  <si>
    <t>clases</t>
  </si>
  <si>
    <t>marca clase</t>
  </si>
  <si>
    <t>F acumulada</t>
  </si>
  <si>
    <t>% de frecuencia</t>
  </si>
  <si>
    <t>Comentario
Se puede observar que la frecuencia comun de la discreapancia es en el rango 2, especificamente entre 203.15 y 401.22 en los que se esta 147 datos, esto posiblemente sea debido a los movimientos del camion, pero consideranfo que segun el anterior histograma de deltas de combustible global lo mas comun es de 20 a -20 por lo que 147 superaria a este rango.</t>
  </si>
  <si>
    <t>301.9200000000001</t>
  </si>
  <si>
    <t>254.51999999999998</t>
  </si>
  <si>
    <t>1271.1599999999999</t>
  </si>
  <si>
    <t>293.2000000000003</t>
  </si>
  <si>
    <t>190.12000000000012</t>
  </si>
  <si>
    <t>101.27999999999975</t>
  </si>
  <si>
    <t>144.3199999999997</t>
  </si>
  <si>
    <t>233.08000000000015</t>
  </si>
  <si>
    <t>266.39999999999986</t>
  </si>
  <si>
    <t>178.15999999999985</t>
  </si>
  <si>
    <t>339.84000000000015</t>
  </si>
  <si>
    <t>389.5999999999999</t>
  </si>
  <si>
    <t>136.92000000000007</t>
  </si>
  <si>
    <t>446.2399999999998</t>
  </si>
  <si>
    <t>277.48000000000025</t>
  </si>
  <si>
    <t>209.20000000000005</t>
  </si>
  <si>
    <t>154.67999999999984</t>
  </si>
  <si>
    <t>293.6800000000003</t>
  </si>
  <si>
    <t>205.51999999999998</t>
  </si>
  <si>
    <t>342.3199999999997</t>
  </si>
  <si>
    <t>262.6400000000003</t>
  </si>
  <si>
    <t>502.96000000000004</t>
  </si>
  <si>
    <t>236.96000000000004</t>
  </si>
  <si>
    <t>1985.8000000000002</t>
  </si>
  <si>
    <t>106.63999999999987</t>
  </si>
  <si>
    <t>247.1600000000003</t>
  </si>
  <si>
    <t>87.76000000000022</t>
  </si>
  <si>
    <t>345.8000000000002</t>
  </si>
  <si>
    <t>164.07999999999993</t>
  </si>
  <si>
    <t>488.1600000000003</t>
  </si>
  <si>
    <t>162.5999999999999</t>
  </si>
  <si>
    <t>187.3599999999999</t>
  </si>
  <si>
    <t>292.1199999999999</t>
  </si>
  <si>
    <t>109.72000000000003</t>
  </si>
  <si>
    <t>167.67999999999984</t>
  </si>
  <si>
    <t>397.2399999999998</t>
  </si>
  <si>
    <t>494.8000000000002</t>
  </si>
  <si>
    <t>276.32000000000016</t>
  </si>
  <si>
    <t>186.76000000000022</t>
  </si>
  <si>
    <t>267.1199999999999</t>
  </si>
  <si>
    <t>255.92000000000007</t>
  </si>
  <si>
    <t>201.24000000000024</t>
  </si>
  <si>
    <t>501.75999999999976</t>
  </si>
  <si>
    <t>416.55999999999995</t>
  </si>
  <si>
    <t>297.2800000000002</t>
  </si>
  <si>
    <t>309.3600000000001</t>
  </si>
  <si>
    <t>245.5999999999999</t>
  </si>
  <si>
    <t>141.92000000000007</t>
  </si>
  <si>
    <t>531.5200000000002</t>
  </si>
  <si>
    <t>84.08000000000015</t>
  </si>
  <si>
    <t>399.2000000000003</t>
  </si>
  <si>
    <t>80.55999999999995</t>
  </si>
  <si>
    <t>116.4399999999996</t>
  </si>
  <si>
    <t>5.080000000000155</t>
  </si>
  <si>
    <t>771.9200000000001</t>
  </si>
  <si>
    <t>500.7600000000002</t>
  </si>
  <si>
    <t>210.15999999999985</t>
  </si>
  <si>
    <t>247.48000000000047</t>
  </si>
  <si>
    <t>245.7199999999998</t>
  </si>
  <si>
    <t>301.27999999999975</t>
  </si>
  <si>
    <t>321.31999999999994</t>
  </si>
  <si>
    <t>291.8000000000002</t>
  </si>
  <si>
    <t>242.23999999999978</t>
  </si>
  <si>
    <t>187.79999999999973</t>
  </si>
  <si>
    <t>241.2800000000002</t>
  </si>
  <si>
    <t>294.4000000000001</t>
  </si>
  <si>
    <t>196.4000000000001</t>
  </si>
  <si>
    <t>141.15999999999985</t>
  </si>
  <si>
    <t>388.0799999999999</t>
  </si>
  <si>
    <t>1185.3600000000001</t>
  </si>
  <si>
    <t>1682.7599999999998</t>
  </si>
  <si>
    <t>796.1599999999999</t>
  </si>
  <si>
    <t>332.27999999999975</t>
  </si>
  <si>
    <t>251.72000000000025</t>
  </si>
  <si>
    <t>310.6399999999999</t>
  </si>
  <si>
    <t>102.84000000000015</t>
  </si>
  <si>
    <t>413.15999999999985</t>
  </si>
  <si>
    <t>246.83999999999992</t>
  </si>
  <si>
    <t>317.3600000000001</t>
  </si>
  <si>
    <t>11.080000000000155</t>
  </si>
  <si>
    <t>158.84000000000015</t>
  </si>
  <si>
    <t>1220.3199999999997</t>
  </si>
  <si>
    <t>630.0799999999999</t>
  </si>
  <si>
    <t>58.76000000000022</t>
  </si>
  <si>
    <t>464.0799999999999</t>
  </si>
  <si>
    <t>308.12000000000035</t>
  </si>
  <si>
    <t>351.84000000000015</t>
  </si>
  <si>
    <t>359.5600000000004</t>
  </si>
  <si>
    <t>333.32000000000016</t>
  </si>
  <si>
    <t>21.120000000000346</t>
  </si>
  <si>
    <t>344.5600000000002</t>
  </si>
  <si>
    <t>244.24000000000024</t>
  </si>
  <si>
    <t>277.84000000000015</t>
  </si>
  <si>
    <t>588.2800000000002</t>
  </si>
  <si>
    <t>127.55999999999995</t>
  </si>
  <si>
    <t>485.68000000000006</t>
  </si>
  <si>
    <t>154.08000000000038</t>
  </si>
  <si>
    <t>518.8400000000001</t>
  </si>
  <si>
    <t>331.55999999999995</t>
  </si>
  <si>
    <t>341.8000000000002</t>
  </si>
  <si>
    <t>158.35999999999967</t>
  </si>
  <si>
    <t>609.7199999999998</t>
  </si>
  <si>
    <t>325.1999999999998</t>
  </si>
  <si>
    <t>688.1199999999999</t>
  </si>
  <si>
    <t>448.84000000000015</t>
  </si>
  <si>
    <t>251.1199999999999</t>
  </si>
  <si>
    <t>375.8800000000001</t>
  </si>
  <si>
    <t>55.07999999999993</t>
  </si>
  <si>
    <t>264.84000000000015</t>
  </si>
  <si>
    <t>252.6800000000003</t>
  </si>
  <si>
    <t>288.96000000000004</t>
  </si>
  <si>
    <t>60.039999999999964</t>
  </si>
  <si>
    <t>1107.8799999999999</t>
  </si>
  <si>
    <t>333.27999999999975</t>
  </si>
  <si>
    <t>219.1199999999999</t>
  </si>
  <si>
    <t>226.68000000000006</t>
  </si>
  <si>
    <t>280.4000000000001</t>
  </si>
  <si>
    <t>355.2800000000002</t>
  </si>
  <si>
    <t>301.03999999999996</t>
  </si>
  <si>
    <t>520.1199999999999</t>
  </si>
  <si>
    <t>411.2000000000003</t>
  </si>
  <si>
    <t>47.679999999999836</t>
  </si>
  <si>
    <t>326.8000000000002</t>
  </si>
  <si>
    <t>217.63999999999987</t>
  </si>
  <si>
    <t>349.2800000000002</t>
  </si>
  <si>
    <t>378.44000000000005</t>
  </si>
  <si>
    <t>739.0400000000002</t>
  </si>
  <si>
    <t>184.51999999999998</t>
  </si>
  <si>
    <t>365.52000000000044</t>
  </si>
  <si>
    <t>434.8000000000002</t>
  </si>
  <si>
    <t>309.7600000000002</t>
  </si>
  <si>
    <t>506.9200000000001</t>
  </si>
  <si>
    <t>349.9200000000001</t>
  </si>
  <si>
    <t>147.67999999999984</t>
  </si>
  <si>
    <t>412.8399999999997</t>
  </si>
  <si>
    <t>128.07999999999993</t>
  </si>
  <si>
    <t>76.07999999999993</t>
  </si>
  <si>
    <t>315.1199999999999</t>
  </si>
  <si>
    <t>398.9200000000001</t>
  </si>
  <si>
    <t>238.36000000000013</t>
  </si>
  <si>
    <t>369.5999999999999</t>
  </si>
  <si>
    <t>911.3600000000001</t>
  </si>
  <si>
    <t>441.27999999999975</t>
  </si>
  <si>
    <t>360.4000000000001</t>
  </si>
  <si>
    <t>230.72000000000003</t>
  </si>
  <si>
    <t>312.03999999999996</t>
  </si>
  <si>
    <t>177.19999999999982</t>
  </si>
  <si>
    <t>256.44000000000005</t>
  </si>
  <si>
    <t>21.23999999999978</t>
  </si>
  <si>
    <t>817.8800000000001</t>
  </si>
  <si>
    <t>101.03999999999996</t>
  </si>
  <si>
    <t>187.35999999999967</t>
  </si>
  <si>
    <t>277.39999999999986</t>
  </si>
  <si>
    <t>282.8800000000001</t>
  </si>
  <si>
    <t>255.20000000000005</t>
  </si>
  <si>
    <t>234.60000000000036</t>
  </si>
  <si>
    <t>733.0400000000002</t>
  </si>
  <si>
    <t>234.32000000000016</t>
  </si>
  <si>
    <t>1902.1200000000001</t>
  </si>
  <si>
    <t>145.51999999999998</t>
  </si>
  <si>
    <t>118.23999999999978</t>
  </si>
  <si>
    <t>762.3200000000002</t>
  </si>
  <si>
    <t>705.6399999999999</t>
  </si>
  <si>
    <t>550.0799999999999</t>
  </si>
  <si>
    <t>624.1600000000001</t>
  </si>
  <si>
    <t>298.3600000000001</t>
  </si>
  <si>
    <t>399.2800000000002</t>
  </si>
  <si>
    <t>556.6000000000004</t>
  </si>
  <si>
    <t>390.15999999999985</t>
  </si>
  <si>
    <t>198.96000000000004</t>
  </si>
  <si>
    <t>83.88000000000011</t>
  </si>
  <si>
    <t>9.840000000000146</t>
  </si>
  <si>
    <t>232.96000000000004</t>
  </si>
  <si>
    <t>377.6800000000003</t>
  </si>
  <si>
    <t>287.8000000000002</t>
  </si>
  <si>
    <t>417.32000000000016</t>
  </si>
  <si>
    <t>336.2399999999998</t>
  </si>
  <si>
    <t>388.1199999999999</t>
  </si>
  <si>
    <t>291.72000000000025</t>
  </si>
  <si>
    <t>379.6800000000003</t>
  </si>
  <si>
    <t>249.16000000000008</t>
  </si>
  <si>
    <t>135.8399999999997</t>
  </si>
  <si>
    <t>341.15999999999985</t>
  </si>
  <si>
    <t>147.5999999999999</t>
  </si>
  <si>
    <t>163.3199999999997</t>
  </si>
  <si>
    <t>380.44000000000005</t>
  </si>
  <si>
    <t>313.96000000000004</t>
  </si>
  <si>
    <t>281.9200000000001</t>
  </si>
  <si>
    <t>268.0799999999999</t>
  </si>
  <si>
    <t>189.92000000000007</t>
  </si>
  <si>
    <t>207.72000000000025</t>
  </si>
  <si>
    <t>485.39999999999964</t>
  </si>
  <si>
    <t>221.96000000000004</t>
  </si>
  <si>
    <t>403.1999999999998</t>
  </si>
  <si>
    <t>249.80000000000018</t>
  </si>
  <si>
    <t>314.32000000000016</t>
  </si>
  <si>
    <t>273.87999999999965</t>
  </si>
  <si>
    <t>222.4000000000001</t>
  </si>
  <si>
    <t>464.1199999999999</t>
  </si>
  <si>
    <t>174.15999999999985</t>
  </si>
  <si>
    <t>301.84000000000015</t>
  </si>
  <si>
    <t>396.4000000000001</t>
  </si>
  <si>
    <t>279.27999999999975</t>
  </si>
  <si>
    <t>238.19999999999982</t>
  </si>
  <si>
    <t>139.84000000000015</t>
  </si>
  <si>
    <t>742.2799999999997</t>
  </si>
  <si>
    <t>156.76000000000022</t>
  </si>
  <si>
    <t>603.8400000000001</t>
  </si>
  <si>
    <t>401.1200000000001</t>
  </si>
  <si>
    <t>186.67999999999984</t>
  </si>
  <si>
    <t>313.03999999999996</t>
  </si>
  <si>
    <t>438.0799999999999</t>
  </si>
  <si>
    <t>164.76000000000022</t>
  </si>
  <si>
    <t>281.84000000000015</t>
  </si>
  <si>
    <t>766.7999999999997</t>
  </si>
  <si>
    <t>816.1600000000001</t>
  </si>
  <si>
    <t>190.07999999999993</t>
  </si>
  <si>
    <t>230.32000000000016</t>
  </si>
  <si>
    <t>258.24000000000024</t>
  </si>
  <si>
    <t>285.0799999999999</t>
  </si>
  <si>
    <t>404.8000000000002</t>
  </si>
  <si>
    <t>272.0799999999999</t>
  </si>
  <si>
    <t>513.1599999999999</t>
  </si>
  <si>
    <t>114.55999999999995</t>
  </si>
  <si>
    <t>441.75999999999976</t>
  </si>
  <si>
    <t>350.96000000000004</t>
  </si>
  <si>
    <t>324.6400000000003</t>
  </si>
  <si>
    <t>406.87999999999965</t>
  </si>
  <si>
    <t>425.8000000000002</t>
  </si>
  <si>
    <t>375.6800000000003</t>
  </si>
  <si>
    <t>402.55999999999995</t>
  </si>
  <si>
    <t>421.6800000000003</t>
  </si>
  <si>
    <t>402.3199999999997</t>
  </si>
  <si>
    <t>243.19999999999982</t>
  </si>
  <si>
    <t>171.8800000000001</t>
  </si>
  <si>
    <t>213.8800000000001</t>
  </si>
  <si>
    <t>241.63999999999987</t>
  </si>
  <si>
    <t>204.16000000000008</t>
  </si>
  <si>
    <t>236.4000000000001</t>
  </si>
  <si>
    <t>177.08000000000015</t>
  </si>
  <si>
    <t>174.44000000000005</t>
  </si>
  <si>
    <t>213.75999999999976</t>
  </si>
  <si>
    <t>1636.2400000000002</t>
  </si>
  <si>
    <t>203.15999999999985</t>
  </si>
  <si>
    <t>199.92000000000007</t>
  </si>
  <si>
    <t>357.1199999999999</t>
  </si>
  <si>
    <t>282.6800000000003</t>
  </si>
  <si>
    <t>333.8800000000001</t>
  </si>
  <si>
    <t>434.8800000000001</t>
  </si>
  <si>
    <t>210.07999999999993</t>
  </si>
  <si>
    <t>1095.6000000000001</t>
  </si>
  <si>
    <t>105.03999999999996</t>
  </si>
  <si>
    <t>293.9200000000001</t>
  </si>
  <si>
    <t>299.2000000000003</t>
  </si>
  <si>
    <t>Time_Discrepancy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</si>
</sst>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0" fontId="0" fillId="0" borderId="0" xfId="0" applyNumberFormat="1"/>
    <xf numFmtId="0" fontId="0" fillId="0" borderId="10" xfId="0" applyBorder="1"/>
    <xf numFmtId="10" fontId="0" fillId="0" borderId="10" xfId="0" applyNumberFormat="1" applyBorder="1"/>
    <xf numFmtId="0" fontId="18" fillId="0" borderId="11" xfId="0" applyFont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Fill="1" applyBorder="1" applyAlignment="1"/>
    <xf numFmtId="10" fontId="0" fillId="0" borderId="10" xfId="0" applyNumberFormat="1" applyFill="1" applyBorder="1" applyAlignment="1"/>
    <xf numFmtId="0" fontId="0" fillId="33" borderId="12" xfId="0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0" fillId="34" borderId="12" xfId="0" applyFill="1" applyBorder="1"/>
    <xf numFmtId="0" fontId="0" fillId="34" borderId="12" xfId="0" applyNumberFormat="1" applyFill="1" applyBorder="1" applyAlignment="1"/>
    <xf numFmtId="0" fontId="0" fillId="34" borderId="12" xfId="0" applyFill="1" applyBorder="1" applyAlignment="1"/>
    <xf numFmtId="10" fontId="0" fillId="34" borderId="12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grafica_frecuencias!$C$2:$C$12</c:f>
              <c:strCache>
                <c:ptCount val="11"/>
                <c:pt idx="0">
                  <c:v>104.115</c:v>
                </c:pt>
                <c:pt idx="1">
                  <c:v>302.185</c:v>
                </c:pt>
                <c:pt idx="2">
                  <c:v>500.26</c:v>
                </c:pt>
                <c:pt idx="3">
                  <c:v>698.335</c:v>
                </c:pt>
                <c:pt idx="4">
                  <c:v>896.405</c:v>
                </c:pt>
                <c:pt idx="5">
                  <c:v>1094.475</c:v>
                </c:pt>
                <c:pt idx="6">
                  <c:v>1292.545</c:v>
                </c:pt>
                <c:pt idx="7">
                  <c:v>1490.62</c:v>
                </c:pt>
                <c:pt idx="8">
                  <c:v>1688.695</c:v>
                </c:pt>
                <c:pt idx="9">
                  <c:v>1886.765</c:v>
                </c:pt>
                <c:pt idx="10">
                  <c:v>More</c:v>
                </c:pt>
              </c:strCache>
            </c:strRef>
          </c:cat>
          <c:val>
            <c:numRef>
              <c:f>grafica_frecuencias!$D$2:$D$12</c:f>
              <c:numCache>
                <c:formatCode>General</c:formatCode>
                <c:ptCount val="11"/>
                <c:pt idx="0">
                  <c:v>66</c:v>
                </c:pt>
                <c:pt idx="1">
                  <c:v>147</c:v>
                </c:pt>
                <c:pt idx="2">
                  <c:v>39</c:v>
                </c:pt>
                <c:pt idx="3">
                  <c:v>15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D-40C3-BBDF-C6BABA80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357535"/>
        <c:axId val="1938363775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grafica_frecuencias!$C$2:$C$12</c:f>
              <c:strCache>
                <c:ptCount val="11"/>
                <c:pt idx="0">
                  <c:v>104.115</c:v>
                </c:pt>
                <c:pt idx="1">
                  <c:v>302.185</c:v>
                </c:pt>
                <c:pt idx="2">
                  <c:v>500.26</c:v>
                </c:pt>
                <c:pt idx="3">
                  <c:v>698.335</c:v>
                </c:pt>
                <c:pt idx="4">
                  <c:v>896.405</c:v>
                </c:pt>
                <c:pt idx="5">
                  <c:v>1094.475</c:v>
                </c:pt>
                <c:pt idx="6">
                  <c:v>1292.545</c:v>
                </c:pt>
                <c:pt idx="7">
                  <c:v>1490.62</c:v>
                </c:pt>
                <c:pt idx="8">
                  <c:v>1688.695</c:v>
                </c:pt>
                <c:pt idx="9">
                  <c:v>1886.765</c:v>
                </c:pt>
                <c:pt idx="10">
                  <c:v>More</c:v>
                </c:pt>
              </c:strCache>
            </c:strRef>
          </c:cat>
          <c:val>
            <c:numRef>
              <c:f>grafica_frecuencias!$G$2:$G$12</c:f>
              <c:numCache>
                <c:formatCode>0.00%</c:formatCode>
                <c:ptCount val="11"/>
                <c:pt idx="0">
                  <c:v>0.22837370242214533</c:v>
                </c:pt>
                <c:pt idx="1">
                  <c:v>0.73702422145328716</c:v>
                </c:pt>
                <c:pt idx="2">
                  <c:v>0.87197231833910038</c:v>
                </c:pt>
                <c:pt idx="3">
                  <c:v>0.92387543252595161</c:v>
                </c:pt>
                <c:pt idx="4">
                  <c:v>0.93771626297577859</c:v>
                </c:pt>
                <c:pt idx="5">
                  <c:v>0.95847750865051906</c:v>
                </c:pt>
                <c:pt idx="6">
                  <c:v>0.97231833910034604</c:v>
                </c:pt>
                <c:pt idx="7">
                  <c:v>0.97577854671280273</c:v>
                </c:pt>
                <c:pt idx="8">
                  <c:v>0.98961937716262971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D-40C3-BBDF-C6BABA80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366655"/>
        <c:axId val="1938366175"/>
      </c:lineChart>
      <c:catAx>
        <c:axId val="1938357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8363775"/>
        <c:crosses val="autoZero"/>
        <c:auto val="1"/>
        <c:lblAlgn val="ctr"/>
        <c:lblOffset val="100"/>
        <c:noMultiLvlLbl val="0"/>
      </c:catAx>
      <c:valAx>
        <c:axId val="1938363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8357535"/>
        <c:crosses val="autoZero"/>
        <c:crossBetween val="between"/>
      </c:valAx>
      <c:valAx>
        <c:axId val="193836617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938366655"/>
        <c:crosses val="max"/>
        <c:crossBetween val="between"/>
      </c:valAx>
      <c:catAx>
        <c:axId val="1938366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8366175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grafica_frecuencias!$D$1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D-4ADE-B9AA-4B03C8D90E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D-4ADE-B9AA-4B03C8D90E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D-4ADE-B9AA-4B03C8D90E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4D-4ADE-B9AA-4B03C8D90E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4D-4ADE-B9AA-4B03C8D90E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4D-4ADE-B9AA-4B03C8D90E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4D-4ADE-B9AA-4B03C8D90E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4D-4ADE-B9AA-4B03C8D90E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4D-4ADE-B9AA-4B03C8D90E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4D-4ADE-B9AA-4B03C8D90E3F}"/>
              </c:ext>
            </c:extLst>
          </c:dPt>
          <c:cat>
            <c:numRef>
              <c:f>grafica_frecuencias!$C$2:$C$11</c:f>
              <c:numCache>
                <c:formatCode>General</c:formatCode>
                <c:ptCount val="10"/>
                <c:pt idx="0">
                  <c:v>104.11500000000001</c:v>
                </c:pt>
                <c:pt idx="1">
                  <c:v>302.185</c:v>
                </c:pt>
                <c:pt idx="2">
                  <c:v>500.26</c:v>
                </c:pt>
                <c:pt idx="3">
                  <c:v>698.33500000000004</c:v>
                </c:pt>
                <c:pt idx="4">
                  <c:v>896.40499999999997</c:v>
                </c:pt>
                <c:pt idx="5">
                  <c:v>1094.4749999999999</c:v>
                </c:pt>
                <c:pt idx="6">
                  <c:v>1292.5450000000001</c:v>
                </c:pt>
                <c:pt idx="7">
                  <c:v>1490.62</c:v>
                </c:pt>
                <c:pt idx="8">
                  <c:v>1688.6950000000002</c:v>
                </c:pt>
                <c:pt idx="9">
                  <c:v>1886.7649999999999</c:v>
                </c:pt>
              </c:numCache>
            </c:numRef>
          </c:cat>
          <c:val>
            <c:numRef>
              <c:f>grafica_frecuencias!$D$2:$D$11</c:f>
              <c:numCache>
                <c:formatCode>General</c:formatCode>
                <c:ptCount val="10"/>
                <c:pt idx="0">
                  <c:v>66</c:v>
                </c:pt>
                <c:pt idx="1">
                  <c:v>147</c:v>
                </c:pt>
                <c:pt idx="2">
                  <c:v>39</c:v>
                </c:pt>
                <c:pt idx="3">
                  <c:v>15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1-4348-AD61-617530117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grafica_frecuencias!$D$1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grafica_frecuencias!$C$2:$C$11</c:f>
              <c:numCache>
                <c:formatCode>General</c:formatCode>
                <c:ptCount val="10"/>
                <c:pt idx="0">
                  <c:v>104.11500000000001</c:v>
                </c:pt>
                <c:pt idx="1">
                  <c:v>302.185</c:v>
                </c:pt>
                <c:pt idx="2">
                  <c:v>500.26</c:v>
                </c:pt>
                <c:pt idx="3">
                  <c:v>698.33500000000004</c:v>
                </c:pt>
                <c:pt idx="4">
                  <c:v>896.40499999999997</c:v>
                </c:pt>
                <c:pt idx="5">
                  <c:v>1094.4749999999999</c:v>
                </c:pt>
                <c:pt idx="6">
                  <c:v>1292.5450000000001</c:v>
                </c:pt>
                <c:pt idx="7">
                  <c:v>1490.62</c:v>
                </c:pt>
                <c:pt idx="8">
                  <c:v>1688.6950000000002</c:v>
                </c:pt>
                <c:pt idx="9">
                  <c:v>1886.7649999999999</c:v>
                </c:pt>
              </c:numCache>
            </c:numRef>
          </c:cat>
          <c:val>
            <c:numRef>
              <c:f>grafica_frecuencias!$D$2:$D$11</c:f>
              <c:numCache>
                <c:formatCode>General</c:formatCode>
                <c:ptCount val="10"/>
                <c:pt idx="0">
                  <c:v>66</c:v>
                </c:pt>
                <c:pt idx="1">
                  <c:v>147</c:v>
                </c:pt>
                <c:pt idx="2">
                  <c:v>39</c:v>
                </c:pt>
                <c:pt idx="3">
                  <c:v>15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E-426C-828F-5FD43BC9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387775"/>
        <c:axId val="1938388735"/>
      </c:barChart>
      <c:catAx>
        <c:axId val="193838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88735"/>
        <c:crosses val="autoZero"/>
        <c:auto val="1"/>
        <c:lblAlgn val="ctr"/>
        <c:lblOffset val="100"/>
        <c:noMultiLvlLbl val="0"/>
      </c:catAx>
      <c:valAx>
        <c:axId val="19383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8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graficas_tiempo!$C$2:$C$12</c:f>
              <c:strCache>
                <c:ptCount val="11"/>
                <c:pt idx="0">
                  <c:v>3460.25</c:v>
                </c:pt>
                <c:pt idx="1">
                  <c:v>10330.75</c:v>
                </c:pt>
                <c:pt idx="2">
                  <c:v>17201.25</c:v>
                </c:pt>
                <c:pt idx="3">
                  <c:v>24071.75</c:v>
                </c:pt>
                <c:pt idx="4">
                  <c:v>30942.25</c:v>
                </c:pt>
                <c:pt idx="5">
                  <c:v>37812.75</c:v>
                </c:pt>
                <c:pt idx="6">
                  <c:v>44683.25</c:v>
                </c:pt>
                <c:pt idx="7">
                  <c:v>51553.75</c:v>
                </c:pt>
                <c:pt idx="8">
                  <c:v>58424.25</c:v>
                </c:pt>
                <c:pt idx="9">
                  <c:v>65294.75</c:v>
                </c:pt>
                <c:pt idx="10">
                  <c:v>More</c:v>
                </c:pt>
              </c:strCache>
            </c:strRef>
          </c:cat>
          <c:val>
            <c:numRef>
              <c:f>graficas_tiempo!$D$2:$D$12</c:f>
              <c:numCache>
                <c:formatCode>General</c:formatCode>
                <c:ptCount val="11"/>
                <c:pt idx="0">
                  <c:v>76</c:v>
                </c:pt>
                <c:pt idx="1">
                  <c:v>55</c:v>
                </c:pt>
                <c:pt idx="2">
                  <c:v>21</c:v>
                </c:pt>
                <c:pt idx="3">
                  <c:v>32</c:v>
                </c:pt>
                <c:pt idx="4">
                  <c:v>30</c:v>
                </c:pt>
                <c:pt idx="5">
                  <c:v>20</c:v>
                </c:pt>
                <c:pt idx="6">
                  <c:v>2</c:v>
                </c:pt>
                <c:pt idx="7">
                  <c:v>19</c:v>
                </c:pt>
                <c:pt idx="8">
                  <c:v>22</c:v>
                </c:pt>
                <c:pt idx="9">
                  <c:v>12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6-461A-9DA1-D6180E23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328735"/>
        <c:axId val="1938328255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graficas_tiempo!$C$2:$C$12</c:f>
              <c:strCache>
                <c:ptCount val="11"/>
                <c:pt idx="0">
                  <c:v>3460.25</c:v>
                </c:pt>
                <c:pt idx="1">
                  <c:v>10330.75</c:v>
                </c:pt>
                <c:pt idx="2">
                  <c:v>17201.25</c:v>
                </c:pt>
                <c:pt idx="3">
                  <c:v>24071.75</c:v>
                </c:pt>
                <c:pt idx="4">
                  <c:v>30942.25</c:v>
                </c:pt>
                <c:pt idx="5">
                  <c:v>37812.75</c:v>
                </c:pt>
                <c:pt idx="6">
                  <c:v>44683.25</c:v>
                </c:pt>
                <c:pt idx="7">
                  <c:v>51553.75</c:v>
                </c:pt>
                <c:pt idx="8">
                  <c:v>58424.25</c:v>
                </c:pt>
                <c:pt idx="9">
                  <c:v>65294.75</c:v>
                </c:pt>
                <c:pt idx="10">
                  <c:v>More</c:v>
                </c:pt>
              </c:strCache>
            </c:strRef>
          </c:cat>
          <c:val>
            <c:numRef>
              <c:f>graficas_tiempo!$G$2:$G$12</c:f>
              <c:numCache>
                <c:formatCode>0.00%</c:formatCode>
                <c:ptCount val="11"/>
                <c:pt idx="0">
                  <c:v>0.26297577854671278</c:v>
                </c:pt>
                <c:pt idx="1">
                  <c:v>0.45328719723183392</c:v>
                </c:pt>
                <c:pt idx="2">
                  <c:v>0.52595155709342556</c:v>
                </c:pt>
                <c:pt idx="3">
                  <c:v>0.63667820069204151</c:v>
                </c:pt>
                <c:pt idx="4">
                  <c:v>0.74048442906574397</c:v>
                </c:pt>
                <c:pt idx="5">
                  <c:v>0.80968858131487886</c:v>
                </c:pt>
                <c:pt idx="6">
                  <c:v>0.81660899653979235</c:v>
                </c:pt>
                <c:pt idx="7">
                  <c:v>0.88235294117647056</c:v>
                </c:pt>
                <c:pt idx="8">
                  <c:v>0.95847750865051906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6-461A-9DA1-D6180E23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342175"/>
        <c:axId val="1938343135"/>
      </c:lineChart>
      <c:catAx>
        <c:axId val="1938328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8328255"/>
        <c:crosses val="autoZero"/>
        <c:auto val="1"/>
        <c:lblAlgn val="ctr"/>
        <c:lblOffset val="100"/>
        <c:noMultiLvlLbl val="0"/>
      </c:catAx>
      <c:valAx>
        <c:axId val="1938328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38328735"/>
        <c:crosses val="autoZero"/>
        <c:crossBetween val="between"/>
      </c:valAx>
      <c:valAx>
        <c:axId val="193834313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938342175"/>
        <c:crosses val="max"/>
        <c:crossBetween val="between"/>
      </c:valAx>
      <c:catAx>
        <c:axId val="1938342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8343135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450605</xdr:colOff>
      <xdr:row>0</xdr:row>
      <xdr:rowOff>138760</xdr:rowOff>
    </xdr:from>
    <xdr:to>
      <xdr:col>25</xdr:col>
      <xdr:colOff>243969</xdr:colOff>
      <xdr:row>25</xdr:row>
      <xdr:rowOff>92207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BFB20-AF9C-AE4B-035D-CCDB277FD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64770</xdr:rowOff>
    </xdr:from>
    <xdr:to>
      <xdr:col>5</xdr:col>
      <xdr:colOff>815340</xdr:colOff>
      <xdr:row>30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DB248-79D8-C48B-7BF1-CC5E78895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822960</xdr:colOff>
      <xdr:row>26</xdr:row>
      <xdr:rowOff>133350</xdr:rowOff>
    </xdr:from>
    <xdr:to>
      <xdr:col>14</xdr:col>
      <xdr:colOff>281940</xdr:colOff>
      <xdr:row>41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23D294-C6C8-0C1A-CF16-FD5AED105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491490</xdr:colOff>
      <xdr:row>0</xdr:row>
      <xdr:rowOff>0</xdr:rowOff>
    </xdr:from>
    <xdr:to>
      <xdr:col>25</xdr:col>
      <xdr:colOff>495300</xdr:colOff>
      <xdr:row>30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38846-39AE-B090-C8F5-8CDB29070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CF31-1F01-4948-9917-B11AD0F148DA}">
  <dimension ref="A1:E291"/>
  <sheetViews>
    <sheetView workbookViewId="0">
      <selection activeCell="E1" sqref="E1:E291"/>
    </sheetView>
  </sheetViews>
  <sheetFormatPr defaultRowHeight="14.4" x14ac:dyDescent="0.3"/>
  <sheetData>
    <row r="1" spans="1:5" x14ac:dyDescent="0.3">
      <c r="A1" t="s">
        <v>0</v>
      </c>
      <c r="E1" t="s">
        <v>272</v>
      </c>
    </row>
    <row r="2" spans="1:5" x14ac:dyDescent="0.3">
      <c r="A2" s="5" t="s">
        <v>18</v>
      </c>
      <c r="E2">
        <v>10800</v>
      </c>
    </row>
    <row r="3" spans="1:5" x14ac:dyDescent="0.3">
      <c r="A3" s="5" t="s">
        <v>19</v>
      </c>
      <c r="E3">
        <v>36090</v>
      </c>
    </row>
    <row r="4" spans="1:5" x14ac:dyDescent="0.3">
      <c r="A4" s="5" t="s">
        <v>20</v>
      </c>
      <c r="E4">
        <v>239</v>
      </c>
    </row>
    <row r="5" spans="1:5" x14ac:dyDescent="0.3">
      <c r="A5" s="5" t="s">
        <v>21</v>
      </c>
      <c r="E5">
        <v>10200</v>
      </c>
    </row>
    <row r="6" spans="1:5" x14ac:dyDescent="0.3">
      <c r="A6">
        <v>372</v>
      </c>
      <c r="E6">
        <v>9900</v>
      </c>
    </row>
    <row r="7" spans="1:5" x14ac:dyDescent="0.3">
      <c r="A7" s="5" t="s">
        <v>22</v>
      </c>
      <c r="E7">
        <v>41430</v>
      </c>
    </row>
    <row r="8" spans="1:5" x14ac:dyDescent="0.3">
      <c r="A8">
        <v>334.48</v>
      </c>
      <c r="E8">
        <v>12270</v>
      </c>
    </row>
    <row r="9" spans="1:5" x14ac:dyDescent="0.3">
      <c r="A9" s="5" t="s">
        <v>23</v>
      </c>
      <c r="E9">
        <v>10410</v>
      </c>
    </row>
    <row r="10" spans="1:5" x14ac:dyDescent="0.3">
      <c r="A10" s="5" t="s">
        <v>24</v>
      </c>
      <c r="E10">
        <v>4740</v>
      </c>
    </row>
    <row r="11" spans="1:5" x14ac:dyDescent="0.3">
      <c r="A11" s="5" t="s">
        <v>25</v>
      </c>
      <c r="E11">
        <v>10230</v>
      </c>
    </row>
    <row r="12" spans="1:5" x14ac:dyDescent="0.3">
      <c r="A12">
        <v>416.52</v>
      </c>
      <c r="E12">
        <v>37560</v>
      </c>
    </row>
    <row r="13" spans="1:5" x14ac:dyDescent="0.3">
      <c r="A13" s="5" t="s">
        <v>26</v>
      </c>
      <c r="E13">
        <v>27150</v>
      </c>
    </row>
    <row r="14" spans="1:5" x14ac:dyDescent="0.3">
      <c r="A14" s="5" t="s">
        <v>27</v>
      </c>
      <c r="E14">
        <v>6690</v>
      </c>
    </row>
    <row r="15" spans="1:5" x14ac:dyDescent="0.3">
      <c r="A15" s="5" t="s">
        <v>28</v>
      </c>
      <c r="E15">
        <v>142</v>
      </c>
    </row>
    <row r="16" spans="1:5" x14ac:dyDescent="0.3">
      <c r="A16" s="5" t="s">
        <v>29</v>
      </c>
      <c r="E16">
        <v>140</v>
      </c>
    </row>
    <row r="17" spans="1:5" x14ac:dyDescent="0.3">
      <c r="A17" s="5" t="s">
        <v>30</v>
      </c>
      <c r="E17">
        <v>125</v>
      </c>
    </row>
    <row r="18" spans="1:5" x14ac:dyDescent="0.3">
      <c r="A18" s="5" t="s">
        <v>31</v>
      </c>
      <c r="E18">
        <v>4350</v>
      </c>
    </row>
    <row r="19" spans="1:5" x14ac:dyDescent="0.3">
      <c r="A19" s="5" t="s">
        <v>32</v>
      </c>
      <c r="E19">
        <v>31140</v>
      </c>
    </row>
    <row r="20" spans="1:5" x14ac:dyDescent="0.3">
      <c r="A20" s="5" t="s">
        <v>33</v>
      </c>
      <c r="E20">
        <v>9150</v>
      </c>
    </row>
    <row r="21" spans="1:5" x14ac:dyDescent="0.3">
      <c r="A21" s="5" t="s">
        <v>34</v>
      </c>
      <c r="E21">
        <v>53580</v>
      </c>
    </row>
    <row r="22" spans="1:5" x14ac:dyDescent="0.3">
      <c r="A22" s="5" t="s">
        <v>35</v>
      </c>
      <c r="E22">
        <v>36180</v>
      </c>
    </row>
    <row r="23" spans="1:5" x14ac:dyDescent="0.3">
      <c r="A23" s="5" t="s">
        <v>36</v>
      </c>
      <c r="E23">
        <v>9120</v>
      </c>
    </row>
    <row r="24" spans="1:5" x14ac:dyDescent="0.3">
      <c r="A24" s="5" t="s">
        <v>37</v>
      </c>
      <c r="E24">
        <v>28050</v>
      </c>
    </row>
    <row r="25" spans="1:5" x14ac:dyDescent="0.3">
      <c r="A25">
        <v>383</v>
      </c>
      <c r="E25">
        <v>12630</v>
      </c>
    </row>
    <row r="26" spans="1:5" x14ac:dyDescent="0.3">
      <c r="A26" s="5" t="s">
        <v>38</v>
      </c>
      <c r="E26">
        <v>2220</v>
      </c>
    </row>
    <row r="27" spans="1:5" x14ac:dyDescent="0.3">
      <c r="A27" s="5" t="s">
        <v>39</v>
      </c>
      <c r="E27">
        <v>80</v>
      </c>
    </row>
    <row r="28" spans="1:5" x14ac:dyDescent="0.3">
      <c r="A28" s="5" t="s">
        <v>40</v>
      </c>
      <c r="E28">
        <v>49650</v>
      </c>
    </row>
    <row r="29" spans="1:5" x14ac:dyDescent="0.3">
      <c r="A29" s="5" t="s">
        <v>41</v>
      </c>
      <c r="E29">
        <v>390</v>
      </c>
    </row>
    <row r="30" spans="1:5" x14ac:dyDescent="0.3">
      <c r="A30">
        <v>1200.96</v>
      </c>
      <c r="E30">
        <v>8040</v>
      </c>
    </row>
    <row r="31" spans="1:5" x14ac:dyDescent="0.3">
      <c r="A31" s="5" t="s">
        <v>42</v>
      </c>
      <c r="E31">
        <v>31260</v>
      </c>
    </row>
    <row r="32" spans="1:5" x14ac:dyDescent="0.3">
      <c r="A32" s="5" t="s">
        <v>43</v>
      </c>
      <c r="E32">
        <v>29670</v>
      </c>
    </row>
    <row r="33" spans="1:5" x14ac:dyDescent="0.3">
      <c r="A33">
        <v>1721.12</v>
      </c>
      <c r="E33">
        <v>17970</v>
      </c>
    </row>
    <row r="34" spans="1:5" x14ac:dyDescent="0.3">
      <c r="A34" s="5" t="s">
        <v>44</v>
      </c>
      <c r="E34">
        <v>4650</v>
      </c>
    </row>
    <row r="35" spans="1:5" x14ac:dyDescent="0.3">
      <c r="A35">
        <v>297.48</v>
      </c>
      <c r="E35">
        <v>28080</v>
      </c>
    </row>
    <row r="36" spans="1:5" x14ac:dyDescent="0.3">
      <c r="A36" s="5" t="s">
        <v>45</v>
      </c>
      <c r="E36">
        <v>12000</v>
      </c>
    </row>
    <row r="37" spans="1:5" x14ac:dyDescent="0.3">
      <c r="A37" s="5" t="s">
        <v>46</v>
      </c>
      <c r="E37">
        <v>64800</v>
      </c>
    </row>
    <row r="38" spans="1:5" x14ac:dyDescent="0.3">
      <c r="A38">
        <v>113</v>
      </c>
      <c r="E38">
        <v>27840</v>
      </c>
    </row>
    <row r="39" spans="1:5" x14ac:dyDescent="0.3">
      <c r="A39" s="5" t="s">
        <v>47</v>
      </c>
      <c r="E39">
        <v>112</v>
      </c>
    </row>
    <row r="40" spans="1:5" x14ac:dyDescent="0.3">
      <c r="A40" s="5" t="s">
        <v>48</v>
      </c>
      <c r="E40">
        <v>48030</v>
      </c>
    </row>
    <row r="41" spans="1:5" x14ac:dyDescent="0.3">
      <c r="A41">
        <v>351.48</v>
      </c>
      <c r="E41">
        <v>63000</v>
      </c>
    </row>
    <row r="42" spans="1:5" x14ac:dyDescent="0.3">
      <c r="A42" s="5" t="s">
        <v>49</v>
      </c>
      <c r="E42">
        <v>118</v>
      </c>
    </row>
    <row r="43" spans="1:5" x14ac:dyDescent="0.3">
      <c r="A43">
        <v>731.44</v>
      </c>
      <c r="E43">
        <v>161</v>
      </c>
    </row>
    <row r="44" spans="1:5" x14ac:dyDescent="0.3">
      <c r="A44" s="5" t="s">
        <v>50</v>
      </c>
      <c r="E44">
        <v>7560</v>
      </c>
    </row>
    <row r="45" spans="1:5" x14ac:dyDescent="0.3">
      <c r="A45" s="5" t="s">
        <v>51</v>
      </c>
      <c r="E45">
        <v>21240</v>
      </c>
    </row>
    <row r="46" spans="1:5" x14ac:dyDescent="0.3">
      <c r="A46" s="5" t="s">
        <v>52</v>
      </c>
      <c r="E46">
        <v>18600</v>
      </c>
    </row>
    <row r="47" spans="1:5" x14ac:dyDescent="0.3">
      <c r="A47" s="5" t="s">
        <v>53</v>
      </c>
      <c r="E47">
        <v>26850</v>
      </c>
    </row>
    <row r="48" spans="1:5" x14ac:dyDescent="0.3">
      <c r="A48" s="5" t="s">
        <v>54</v>
      </c>
      <c r="E48">
        <v>17490</v>
      </c>
    </row>
    <row r="49" spans="1:5" x14ac:dyDescent="0.3">
      <c r="A49">
        <v>350</v>
      </c>
      <c r="E49">
        <v>21330</v>
      </c>
    </row>
    <row r="50" spans="1:5" x14ac:dyDescent="0.3">
      <c r="A50" s="5" t="s">
        <v>55</v>
      </c>
      <c r="E50">
        <v>5700</v>
      </c>
    </row>
    <row r="51" spans="1:5" x14ac:dyDescent="0.3">
      <c r="A51" s="5" t="s">
        <v>56</v>
      </c>
      <c r="E51">
        <v>11310</v>
      </c>
    </row>
    <row r="52" spans="1:5" x14ac:dyDescent="0.3">
      <c r="A52" s="5" t="s">
        <v>57</v>
      </c>
      <c r="E52">
        <v>18540</v>
      </c>
    </row>
    <row r="53" spans="1:5" x14ac:dyDescent="0.3">
      <c r="A53" s="5" t="s">
        <v>58</v>
      </c>
      <c r="E53">
        <v>21660</v>
      </c>
    </row>
    <row r="54" spans="1:5" x14ac:dyDescent="0.3">
      <c r="A54" s="5" t="s">
        <v>59</v>
      </c>
      <c r="E54">
        <v>54840</v>
      </c>
    </row>
    <row r="55" spans="1:5" x14ac:dyDescent="0.3">
      <c r="A55" s="5" t="s">
        <v>60</v>
      </c>
      <c r="E55">
        <v>95</v>
      </c>
    </row>
    <row r="56" spans="1:5" x14ac:dyDescent="0.3">
      <c r="A56" s="5" t="s">
        <v>61</v>
      </c>
      <c r="E56">
        <v>18060</v>
      </c>
    </row>
    <row r="57" spans="1:5" x14ac:dyDescent="0.3">
      <c r="A57" s="5" t="s">
        <v>62</v>
      </c>
      <c r="E57">
        <v>21510</v>
      </c>
    </row>
    <row r="58" spans="1:5" x14ac:dyDescent="0.3">
      <c r="A58" s="5" t="s">
        <v>63</v>
      </c>
      <c r="E58">
        <v>29010</v>
      </c>
    </row>
    <row r="59" spans="1:5" x14ac:dyDescent="0.3">
      <c r="A59" s="5" t="s">
        <v>64</v>
      </c>
      <c r="E59">
        <v>18390</v>
      </c>
    </row>
    <row r="60" spans="1:5" x14ac:dyDescent="0.3">
      <c r="A60" s="5" t="s">
        <v>65</v>
      </c>
      <c r="E60">
        <v>3660</v>
      </c>
    </row>
    <row r="61" spans="1:5" x14ac:dyDescent="0.3">
      <c r="A61" s="5" t="s">
        <v>66</v>
      </c>
      <c r="E61">
        <v>24840</v>
      </c>
    </row>
    <row r="62" spans="1:5" x14ac:dyDescent="0.3">
      <c r="A62" s="5" t="s">
        <v>67</v>
      </c>
      <c r="E62">
        <v>37710</v>
      </c>
    </row>
    <row r="63" spans="1:5" x14ac:dyDescent="0.3">
      <c r="A63" s="5" t="s">
        <v>68</v>
      </c>
      <c r="E63">
        <v>54840</v>
      </c>
    </row>
    <row r="64" spans="1:5" x14ac:dyDescent="0.3">
      <c r="A64" s="5" t="s">
        <v>69</v>
      </c>
      <c r="E64">
        <v>10050</v>
      </c>
    </row>
    <row r="65" spans="1:5" x14ac:dyDescent="0.3">
      <c r="A65" s="5" t="s">
        <v>70</v>
      </c>
      <c r="E65">
        <v>48720</v>
      </c>
    </row>
    <row r="66" spans="1:5" x14ac:dyDescent="0.3">
      <c r="A66" s="5" t="s">
        <v>71</v>
      </c>
      <c r="E66">
        <v>21120</v>
      </c>
    </row>
    <row r="67" spans="1:5" x14ac:dyDescent="0.3">
      <c r="A67" s="5" t="s">
        <v>72</v>
      </c>
      <c r="E67">
        <v>61080</v>
      </c>
    </row>
    <row r="68" spans="1:5" x14ac:dyDescent="0.3">
      <c r="A68">
        <v>223</v>
      </c>
      <c r="E68">
        <v>2040</v>
      </c>
    </row>
    <row r="69" spans="1:5" x14ac:dyDescent="0.3">
      <c r="A69" s="5" t="s">
        <v>73</v>
      </c>
      <c r="E69">
        <v>18030</v>
      </c>
    </row>
    <row r="70" spans="1:5" x14ac:dyDescent="0.3">
      <c r="A70" s="5" t="s">
        <v>74</v>
      </c>
      <c r="E70">
        <v>7290</v>
      </c>
    </row>
    <row r="71" spans="1:5" x14ac:dyDescent="0.3">
      <c r="A71" s="5" t="s">
        <v>75</v>
      </c>
      <c r="E71">
        <v>7110</v>
      </c>
    </row>
    <row r="72" spans="1:5" x14ac:dyDescent="0.3">
      <c r="A72" s="5" t="s">
        <v>76</v>
      </c>
      <c r="E72">
        <v>50550</v>
      </c>
    </row>
    <row r="73" spans="1:5" x14ac:dyDescent="0.3">
      <c r="A73" s="5" t="s">
        <v>77</v>
      </c>
      <c r="E73">
        <v>21090</v>
      </c>
    </row>
    <row r="74" spans="1:5" x14ac:dyDescent="0.3">
      <c r="A74" s="5" t="s">
        <v>78</v>
      </c>
      <c r="E74">
        <v>33690</v>
      </c>
    </row>
    <row r="75" spans="1:5" x14ac:dyDescent="0.3">
      <c r="A75" s="5" t="s">
        <v>79</v>
      </c>
      <c r="E75">
        <v>1950</v>
      </c>
    </row>
    <row r="76" spans="1:5" x14ac:dyDescent="0.3">
      <c r="A76" s="5" t="s">
        <v>80</v>
      </c>
      <c r="E76">
        <v>56970</v>
      </c>
    </row>
    <row r="77" spans="1:5" x14ac:dyDescent="0.3">
      <c r="A77" s="5" t="s">
        <v>81</v>
      </c>
      <c r="E77">
        <v>21540</v>
      </c>
    </row>
    <row r="78" spans="1:5" x14ac:dyDescent="0.3">
      <c r="A78" s="5" t="s">
        <v>82</v>
      </c>
      <c r="E78">
        <v>24570</v>
      </c>
    </row>
    <row r="79" spans="1:5" x14ac:dyDescent="0.3">
      <c r="A79" s="5" t="s">
        <v>83</v>
      </c>
      <c r="E79">
        <v>36330</v>
      </c>
    </row>
    <row r="80" spans="1:5" x14ac:dyDescent="0.3">
      <c r="A80" s="5" t="s">
        <v>84</v>
      </c>
      <c r="E80">
        <v>5430</v>
      </c>
    </row>
    <row r="81" spans="1:5" x14ac:dyDescent="0.3">
      <c r="A81" s="5" t="s">
        <v>85</v>
      </c>
      <c r="E81">
        <v>138</v>
      </c>
    </row>
    <row r="82" spans="1:5" x14ac:dyDescent="0.3">
      <c r="A82" s="5" t="s">
        <v>86</v>
      </c>
      <c r="E82">
        <v>6630</v>
      </c>
    </row>
    <row r="83" spans="1:5" x14ac:dyDescent="0.3">
      <c r="A83">
        <v>1477.28</v>
      </c>
      <c r="E83">
        <v>6630</v>
      </c>
    </row>
    <row r="84" spans="1:5" x14ac:dyDescent="0.3">
      <c r="A84" s="5" t="s">
        <v>87</v>
      </c>
      <c r="E84">
        <v>3210</v>
      </c>
    </row>
    <row r="85" spans="1:5" x14ac:dyDescent="0.3">
      <c r="A85" s="5" t="s">
        <v>88</v>
      </c>
      <c r="E85">
        <v>660</v>
      </c>
    </row>
    <row r="86" spans="1:5" x14ac:dyDescent="0.3">
      <c r="A86" s="5" t="s">
        <v>89</v>
      </c>
      <c r="E86">
        <v>118</v>
      </c>
    </row>
    <row r="87" spans="1:5" x14ac:dyDescent="0.3">
      <c r="A87" s="5" t="s">
        <v>90</v>
      </c>
      <c r="E87">
        <v>4980</v>
      </c>
    </row>
    <row r="88" spans="1:5" x14ac:dyDescent="0.3">
      <c r="A88" s="5" t="s">
        <v>91</v>
      </c>
      <c r="E88">
        <v>24780</v>
      </c>
    </row>
    <row r="89" spans="1:5" x14ac:dyDescent="0.3">
      <c r="A89" s="5" t="s">
        <v>92</v>
      </c>
      <c r="E89">
        <v>32910</v>
      </c>
    </row>
    <row r="90" spans="1:5" x14ac:dyDescent="0.3">
      <c r="A90" s="5" t="s">
        <v>93</v>
      </c>
      <c r="E90">
        <v>30090</v>
      </c>
    </row>
    <row r="91" spans="1:5" x14ac:dyDescent="0.3">
      <c r="A91" s="5" t="s">
        <v>94</v>
      </c>
      <c r="E91">
        <v>21570</v>
      </c>
    </row>
    <row r="92" spans="1:5" x14ac:dyDescent="0.3">
      <c r="A92" s="5" t="s">
        <v>95</v>
      </c>
      <c r="E92">
        <v>7680</v>
      </c>
    </row>
    <row r="93" spans="1:5" x14ac:dyDescent="0.3">
      <c r="A93" s="5" t="s">
        <v>96</v>
      </c>
      <c r="E93">
        <v>68730</v>
      </c>
    </row>
    <row r="94" spans="1:5" x14ac:dyDescent="0.3">
      <c r="A94" s="5" t="s">
        <v>97</v>
      </c>
      <c r="E94">
        <v>9690</v>
      </c>
    </row>
    <row r="95" spans="1:5" x14ac:dyDescent="0.3">
      <c r="A95" s="5" t="s">
        <v>98</v>
      </c>
      <c r="E95">
        <v>225</v>
      </c>
    </row>
    <row r="96" spans="1:5" x14ac:dyDescent="0.3">
      <c r="A96" s="5" t="s">
        <v>99</v>
      </c>
      <c r="E96">
        <v>18390</v>
      </c>
    </row>
    <row r="97" spans="1:5" x14ac:dyDescent="0.3">
      <c r="A97" s="5" t="s">
        <v>100</v>
      </c>
      <c r="E97">
        <v>124</v>
      </c>
    </row>
    <row r="98" spans="1:5" x14ac:dyDescent="0.3">
      <c r="A98" s="5" t="s">
        <v>101</v>
      </c>
      <c r="E98">
        <v>34470</v>
      </c>
    </row>
    <row r="99" spans="1:5" x14ac:dyDescent="0.3">
      <c r="A99" s="5" t="s">
        <v>102</v>
      </c>
      <c r="E99">
        <v>6240</v>
      </c>
    </row>
    <row r="100" spans="1:5" x14ac:dyDescent="0.3">
      <c r="A100" s="5" t="s">
        <v>103</v>
      </c>
      <c r="E100">
        <v>8760</v>
      </c>
    </row>
    <row r="101" spans="1:5" x14ac:dyDescent="0.3">
      <c r="A101" s="5" t="s">
        <v>104</v>
      </c>
      <c r="E101">
        <v>174</v>
      </c>
    </row>
    <row r="102" spans="1:5" x14ac:dyDescent="0.3">
      <c r="A102" s="5" t="s">
        <v>105</v>
      </c>
      <c r="E102">
        <v>26610</v>
      </c>
    </row>
    <row r="103" spans="1:5" x14ac:dyDescent="0.3">
      <c r="A103" s="5" t="s">
        <v>106</v>
      </c>
      <c r="E103">
        <v>64830</v>
      </c>
    </row>
    <row r="104" spans="1:5" x14ac:dyDescent="0.3">
      <c r="A104" s="5" t="s">
        <v>107</v>
      </c>
      <c r="E104">
        <v>33480</v>
      </c>
    </row>
    <row r="105" spans="1:5" x14ac:dyDescent="0.3">
      <c r="A105" s="5" t="s">
        <v>108</v>
      </c>
      <c r="E105">
        <v>58680</v>
      </c>
    </row>
    <row r="106" spans="1:5" x14ac:dyDescent="0.3">
      <c r="A106" s="5" t="s">
        <v>109</v>
      </c>
      <c r="E106">
        <v>25</v>
      </c>
    </row>
    <row r="107" spans="1:5" x14ac:dyDescent="0.3">
      <c r="A107" s="5" t="s">
        <v>110</v>
      </c>
      <c r="E107">
        <v>39090</v>
      </c>
    </row>
    <row r="108" spans="1:5" x14ac:dyDescent="0.3">
      <c r="A108" s="5" t="s">
        <v>111</v>
      </c>
      <c r="E108">
        <v>2160</v>
      </c>
    </row>
    <row r="109" spans="1:5" x14ac:dyDescent="0.3">
      <c r="A109" s="5" t="s">
        <v>112</v>
      </c>
      <c r="E109">
        <v>33210</v>
      </c>
    </row>
    <row r="110" spans="1:5" x14ac:dyDescent="0.3">
      <c r="A110" s="5" t="s">
        <v>113</v>
      </c>
      <c r="E110">
        <v>27870</v>
      </c>
    </row>
    <row r="111" spans="1:5" x14ac:dyDescent="0.3">
      <c r="A111" s="5" t="s">
        <v>114</v>
      </c>
      <c r="E111">
        <v>51930</v>
      </c>
    </row>
    <row r="112" spans="1:5" x14ac:dyDescent="0.3">
      <c r="A112" s="5" t="s">
        <v>115</v>
      </c>
      <c r="E112">
        <v>132</v>
      </c>
    </row>
    <row r="113" spans="1:5" x14ac:dyDescent="0.3">
      <c r="A113" s="5" t="s">
        <v>116</v>
      </c>
      <c r="E113">
        <v>29610</v>
      </c>
    </row>
    <row r="114" spans="1:5" x14ac:dyDescent="0.3">
      <c r="A114" s="5" t="s">
        <v>117</v>
      </c>
      <c r="E114">
        <v>52470</v>
      </c>
    </row>
    <row r="115" spans="1:5" x14ac:dyDescent="0.3">
      <c r="A115" s="5" t="s">
        <v>118</v>
      </c>
      <c r="E115">
        <v>18300</v>
      </c>
    </row>
    <row r="116" spans="1:5" x14ac:dyDescent="0.3">
      <c r="A116" s="5" t="s">
        <v>119</v>
      </c>
      <c r="E116">
        <v>154</v>
      </c>
    </row>
    <row r="117" spans="1:5" x14ac:dyDescent="0.3">
      <c r="A117">
        <v>392.48</v>
      </c>
      <c r="E117">
        <v>5640</v>
      </c>
    </row>
    <row r="118" spans="1:5" x14ac:dyDescent="0.3">
      <c r="A118" s="5" t="s">
        <v>120</v>
      </c>
      <c r="E118">
        <v>21870</v>
      </c>
    </row>
    <row r="119" spans="1:5" x14ac:dyDescent="0.3">
      <c r="A119" s="5" t="s">
        <v>121</v>
      </c>
      <c r="E119">
        <v>13260</v>
      </c>
    </row>
    <row r="120" spans="1:5" x14ac:dyDescent="0.3">
      <c r="A120" s="5" t="s">
        <v>122</v>
      </c>
      <c r="E120">
        <v>37380</v>
      </c>
    </row>
    <row r="121" spans="1:5" x14ac:dyDescent="0.3">
      <c r="A121">
        <v>846</v>
      </c>
      <c r="E121">
        <v>27540</v>
      </c>
    </row>
    <row r="122" spans="1:5" x14ac:dyDescent="0.3">
      <c r="A122" s="5" t="s">
        <v>123</v>
      </c>
      <c r="E122">
        <v>7590</v>
      </c>
    </row>
    <row r="123" spans="1:5" x14ac:dyDescent="0.3">
      <c r="A123" s="5" t="s">
        <v>124</v>
      </c>
      <c r="E123">
        <v>49500</v>
      </c>
    </row>
    <row r="124" spans="1:5" x14ac:dyDescent="0.3">
      <c r="A124" s="5" t="s">
        <v>125</v>
      </c>
      <c r="E124">
        <v>38640</v>
      </c>
    </row>
    <row r="125" spans="1:5" x14ac:dyDescent="0.3">
      <c r="A125" s="5" t="s">
        <v>126</v>
      </c>
      <c r="E125">
        <v>13380</v>
      </c>
    </row>
    <row r="126" spans="1:5" x14ac:dyDescent="0.3">
      <c r="A126" s="5" t="s">
        <v>127</v>
      </c>
      <c r="E126">
        <v>33990</v>
      </c>
    </row>
    <row r="127" spans="1:5" x14ac:dyDescent="0.3">
      <c r="A127" s="5" t="s">
        <v>128</v>
      </c>
      <c r="E127">
        <v>32250</v>
      </c>
    </row>
    <row r="128" spans="1:5" x14ac:dyDescent="0.3">
      <c r="A128" s="5" t="s">
        <v>129</v>
      </c>
      <c r="E128">
        <v>32190</v>
      </c>
    </row>
    <row r="129" spans="1:5" x14ac:dyDescent="0.3">
      <c r="A129" s="5" t="s">
        <v>130</v>
      </c>
      <c r="E129">
        <v>8520</v>
      </c>
    </row>
    <row r="130" spans="1:5" x14ac:dyDescent="0.3">
      <c r="A130" s="5" t="s">
        <v>131</v>
      </c>
      <c r="E130">
        <v>7110</v>
      </c>
    </row>
    <row r="131" spans="1:5" x14ac:dyDescent="0.3">
      <c r="A131" s="5" t="s">
        <v>132</v>
      </c>
      <c r="E131">
        <v>146</v>
      </c>
    </row>
    <row r="132" spans="1:5" x14ac:dyDescent="0.3">
      <c r="A132" s="5" t="s">
        <v>133</v>
      </c>
      <c r="E132">
        <v>62010</v>
      </c>
    </row>
    <row r="133" spans="1:5" x14ac:dyDescent="0.3">
      <c r="A133" s="5" t="s">
        <v>134</v>
      </c>
      <c r="E133">
        <v>10470</v>
      </c>
    </row>
    <row r="134" spans="1:5" x14ac:dyDescent="0.3">
      <c r="A134" s="5" t="s">
        <v>135</v>
      </c>
      <c r="E134">
        <v>36420</v>
      </c>
    </row>
    <row r="135" spans="1:5" x14ac:dyDescent="0.3">
      <c r="A135" s="5" t="s">
        <v>136</v>
      </c>
      <c r="E135">
        <v>9480</v>
      </c>
    </row>
    <row r="136" spans="1:5" x14ac:dyDescent="0.3">
      <c r="A136" s="5" t="s">
        <v>137</v>
      </c>
      <c r="E136">
        <v>57330</v>
      </c>
    </row>
    <row r="137" spans="1:5" x14ac:dyDescent="0.3">
      <c r="A137" s="5" t="s">
        <v>138</v>
      </c>
      <c r="E137">
        <v>14310</v>
      </c>
    </row>
    <row r="138" spans="1:5" x14ac:dyDescent="0.3">
      <c r="A138" s="5" t="s">
        <v>139</v>
      </c>
      <c r="E138">
        <v>3870</v>
      </c>
    </row>
    <row r="139" spans="1:5" x14ac:dyDescent="0.3">
      <c r="A139" s="5" t="s">
        <v>140</v>
      </c>
      <c r="E139">
        <v>11640</v>
      </c>
    </row>
    <row r="140" spans="1:5" x14ac:dyDescent="0.3">
      <c r="A140" s="5" t="s">
        <v>141</v>
      </c>
      <c r="E140">
        <v>12300</v>
      </c>
    </row>
    <row r="141" spans="1:5" x14ac:dyDescent="0.3">
      <c r="A141" s="5" t="s">
        <v>142</v>
      </c>
      <c r="E141">
        <v>186</v>
      </c>
    </row>
    <row r="142" spans="1:5" x14ac:dyDescent="0.3">
      <c r="A142" s="5" t="s">
        <v>143</v>
      </c>
      <c r="E142">
        <v>34410</v>
      </c>
    </row>
    <row r="143" spans="1:5" x14ac:dyDescent="0.3">
      <c r="A143" s="5" t="s">
        <v>144</v>
      </c>
      <c r="E143">
        <v>55380</v>
      </c>
    </row>
    <row r="144" spans="1:5" x14ac:dyDescent="0.3">
      <c r="A144" s="5" t="s">
        <v>145</v>
      </c>
      <c r="E144">
        <v>4890</v>
      </c>
    </row>
    <row r="145" spans="1:5" x14ac:dyDescent="0.3">
      <c r="A145" s="5" t="s">
        <v>146</v>
      </c>
      <c r="E145">
        <v>5580</v>
      </c>
    </row>
    <row r="146" spans="1:5" x14ac:dyDescent="0.3">
      <c r="A146" s="5" t="s">
        <v>147</v>
      </c>
      <c r="E146">
        <v>31440</v>
      </c>
    </row>
    <row r="147" spans="1:5" x14ac:dyDescent="0.3">
      <c r="A147">
        <v>1352.32</v>
      </c>
      <c r="E147">
        <v>5670</v>
      </c>
    </row>
    <row r="148" spans="1:5" x14ac:dyDescent="0.3">
      <c r="A148" s="5" t="s">
        <v>148</v>
      </c>
      <c r="E148">
        <v>36480</v>
      </c>
    </row>
    <row r="149" spans="1:5" x14ac:dyDescent="0.3">
      <c r="A149" s="5" t="s">
        <v>149</v>
      </c>
      <c r="E149">
        <v>61530</v>
      </c>
    </row>
    <row r="150" spans="1:5" x14ac:dyDescent="0.3">
      <c r="A150">
        <v>70.7199999999998</v>
      </c>
      <c r="E150">
        <v>34410</v>
      </c>
    </row>
    <row r="151" spans="1:5" x14ac:dyDescent="0.3">
      <c r="A151" s="5" t="s">
        <v>150</v>
      </c>
      <c r="E151">
        <v>5099</v>
      </c>
    </row>
    <row r="152" spans="1:5" x14ac:dyDescent="0.3">
      <c r="A152" s="5" t="s">
        <v>151</v>
      </c>
      <c r="E152">
        <v>133</v>
      </c>
    </row>
    <row r="153" spans="1:5" x14ac:dyDescent="0.3">
      <c r="A153" s="5" t="s">
        <v>152</v>
      </c>
      <c r="E153">
        <v>4680</v>
      </c>
    </row>
    <row r="154" spans="1:5" x14ac:dyDescent="0.3">
      <c r="A154" s="5" t="s">
        <v>153</v>
      </c>
      <c r="E154">
        <v>30930</v>
      </c>
    </row>
    <row r="155" spans="1:5" x14ac:dyDescent="0.3">
      <c r="A155" s="5" t="s">
        <v>154</v>
      </c>
      <c r="E155">
        <v>7950</v>
      </c>
    </row>
    <row r="156" spans="1:5" x14ac:dyDescent="0.3">
      <c r="A156" s="5" t="s">
        <v>155</v>
      </c>
      <c r="E156">
        <v>12060</v>
      </c>
    </row>
    <row r="157" spans="1:5" x14ac:dyDescent="0.3">
      <c r="A157" s="5" t="s">
        <v>156</v>
      </c>
      <c r="E157">
        <v>10260</v>
      </c>
    </row>
    <row r="158" spans="1:5" x14ac:dyDescent="0.3">
      <c r="A158" s="5" t="s">
        <v>157</v>
      </c>
      <c r="E158">
        <v>9360</v>
      </c>
    </row>
    <row r="159" spans="1:5" x14ac:dyDescent="0.3">
      <c r="A159" s="5" t="s">
        <v>158</v>
      </c>
      <c r="E159">
        <v>24210</v>
      </c>
    </row>
    <row r="160" spans="1:5" x14ac:dyDescent="0.3">
      <c r="A160">
        <v>1056.56</v>
      </c>
      <c r="E160">
        <v>21240</v>
      </c>
    </row>
    <row r="161" spans="1:5" x14ac:dyDescent="0.3">
      <c r="A161" s="5" t="s">
        <v>159</v>
      </c>
      <c r="E161">
        <v>4440</v>
      </c>
    </row>
    <row r="162" spans="1:5" x14ac:dyDescent="0.3">
      <c r="A162" s="5" t="s">
        <v>160</v>
      </c>
      <c r="E162">
        <v>61440</v>
      </c>
    </row>
    <row r="163" spans="1:5" x14ac:dyDescent="0.3">
      <c r="A163" s="5" t="s">
        <v>161</v>
      </c>
      <c r="E163">
        <v>26130</v>
      </c>
    </row>
    <row r="164" spans="1:5" x14ac:dyDescent="0.3">
      <c r="A164" s="5" t="s">
        <v>162</v>
      </c>
      <c r="E164">
        <v>9600</v>
      </c>
    </row>
    <row r="165" spans="1:5" x14ac:dyDescent="0.3">
      <c r="A165">
        <v>1703.04</v>
      </c>
      <c r="E165">
        <v>28410</v>
      </c>
    </row>
    <row r="166" spans="1:5" x14ac:dyDescent="0.3">
      <c r="A166" s="5" t="s">
        <v>163</v>
      </c>
      <c r="E166">
        <v>25380</v>
      </c>
    </row>
    <row r="167" spans="1:5" x14ac:dyDescent="0.3">
      <c r="A167" s="5" t="s">
        <v>164</v>
      </c>
      <c r="E167">
        <v>139</v>
      </c>
    </row>
    <row r="168" spans="1:5" x14ac:dyDescent="0.3">
      <c r="A168" s="5" t="s">
        <v>165</v>
      </c>
      <c r="E168">
        <v>22800</v>
      </c>
    </row>
    <row r="169" spans="1:5" x14ac:dyDescent="0.3">
      <c r="A169" s="5" t="s">
        <v>166</v>
      </c>
      <c r="E169">
        <v>27090</v>
      </c>
    </row>
    <row r="170" spans="1:5" x14ac:dyDescent="0.3">
      <c r="A170" s="5" t="s">
        <v>167</v>
      </c>
      <c r="E170">
        <v>13740</v>
      </c>
    </row>
    <row r="171" spans="1:5" x14ac:dyDescent="0.3">
      <c r="A171" s="5" t="s">
        <v>168</v>
      </c>
      <c r="E171">
        <v>61500</v>
      </c>
    </row>
    <row r="172" spans="1:5" x14ac:dyDescent="0.3">
      <c r="A172" s="5" t="s">
        <v>169</v>
      </c>
      <c r="E172">
        <v>57420</v>
      </c>
    </row>
    <row r="173" spans="1:5" x14ac:dyDescent="0.3">
      <c r="A173" s="5" t="s">
        <v>170</v>
      </c>
      <c r="E173">
        <v>10140</v>
      </c>
    </row>
    <row r="174" spans="1:5" x14ac:dyDescent="0.3">
      <c r="A174" s="5" t="s">
        <v>171</v>
      </c>
      <c r="E174">
        <v>14760</v>
      </c>
    </row>
    <row r="175" spans="1:5" x14ac:dyDescent="0.3">
      <c r="A175" s="5" t="s">
        <v>172</v>
      </c>
      <c r="E175">
        <v>53670</v>
      </c>
    </row>
    <row r="176" spans="1:5" x14ac:dyDescent="0.3">
      <c r="A176" s="5" t="s">
        <v>173</v>
      </c>
      <c r="E176">
        <v>11340</v>
      </c>
    </row>
    <row r="177" spans="1:5" x14ac:dyDescent="0.3">
      <c r="A177">
        <v>288.52</v>
      </c>
      <c r="E177">
        <v>17490</v>
      </c>
    </row>
    <row r="178" spans="1:5" x14ac:dyDescent="0.3">
      <c r="A178" s="5" t="s">
        <v>174</v>
      </c>
      <c r="E178">
        <v>27870</v>
      </c>
    </row>
    <row r="179" spans="1:5" x14ac:dyDescent="0.3">
      <c r="A179" s="5" t="s">
        <v>175</v>
      </c>
      <c r="E179">
        <v>13290</v>
      </c>
    </row>
    <row r="180" spans="1:5" x14ac:dyDescent="0.3">
      <c r="A180" s="5" t="s">
        <v>176</v>
      </c>
      <c r="E180">
        <v>24600</v>
      </c>
    </row>
    <row r="181" spans="1:5" x14ac:dyDescent="0.3">
      <c r="A181" s="5" t="s">
        <v>177</v>
      </c>
      <c r="E181">
        <v>24060</v>
      </c>
    </row>
    <row r="182" spans="1:5" x14ac:dyDescent="0.3">
      <c r="A182" s="5" t="s">
        <v>178</v>
      </c>
      <c r="E182">
        <v>4020</v>
      </c>
    </row>
    <row r="183" spans="1:5" x14ac:dyDescent="0.3">
      <c r="A183" s="5" t="s">
        <v>179</v>
      </c>
      <c r="E183">
        <v>125</v>
      </c>
    </row>
    <row r="184" spans="1:5" x14ac:dyDescent="0.3">
      <c r="A184" s="5" t="s">
        <v>180</v>
      </c>
      <c r="E184">
        <v>2194</v>
      </c>
    </row>
    <row r="185" spans="1:5" x14ac:dyDescent="0.3">
      <c r="A185" s="5" t="s">
        <v>181</v>
      </c>
      <c r="E185">
        <v>6960</v>
      </c>
    </row>
    <row r="186" spans="1:5" x14ac:dyDescent="0.3">
      <c r="A186">
        <v>246</v>
      </c>
      <c r="E186">
        <v>31440</v>
      </c>
    </row>
    <row r="187" spans="1:5" x14ac:dyDescent="0.3">
      <c r="A187" s="5" t="s">
        <v>182</v>
      </c>
      <c r="E187">
        <v>10740</v>
      </c>
    </row>
    <row r="188" spans="1:5" x14ac:dyDescent="0.3">
      <c r="A188" s="5" t="s">
        <v>183</v>
      </c>
      <c r="E188">
        <v>164</v>
      </c>
    </row>
    <row r="189" spans="1:5" x14ac:dyDescent="0.3">
      <c r="A189" s="5" t="s">
        <v>184</v>
      </c>
      <c r="E189">
        <v>6930</v>
      </c>
    </row>
    <row r="190" spans="1:5" x14ac:dyDescent="0.3">
      <c r="A190" s="5" t="s">
        <v>185</v>
      </c>
      <c r="E190">
        <v>5250</v>
      </c>
    </row>
    <row r="191" spans="1:5" x14ac:dyDescent="0.3">
      <c r="A191" s="5" t="s">
        <v>186</v>
      </c>
      <c r="E191">
        <v>8760</v>
      </c>
    </row>
    <row r="192" spans="1:5" x14ac:dyDescent="0.3">
      <c r="A192" s="5" t="s">
        <v>187</v>
      </c>
      <c r="E192">
        <v>37110</v>
      </c>
    </row>
    <row r="193" spans="1:5" x14ac:dyDescent="0.3">
      <c r="A193" s="5" t="s">
        <v>188</v>
      </c>
      <c r="E193">
        <v>10650</v>
      </c>
    </row>
    <row r="194" spans="1:5" x14ac:dyDescent="0.3">
      <c r="A194" s="5" t="s">
        <v>189</v>
      </c>
      <c r="E194">
        <v>31230</v>
      </c>
    </row>
    <row r="195" spans="1:5" x14ac:dyDescent="0.3">
      <c r="A195" s="5" t="s">
        <v>190</v>
      </c>
      <c r="E195">
        <v>3720</v>
      </c>
    </row>
    <row r="196" spans="1:5" x14ac:dyDescent="0.3">
      <c r="A196" s="5" t="s">
        <v>191</v>
      </c>
      <c r="E196">
        <v>10950</v>
      </c>
    </row>
    <row r="197" spans="1:5" x14ac:dyDescent="0.3">
      <c r="A197" s="5" t="s">
        <v>192</v>
      </c>
      <c r="E197">
        <v>104</v>
      </c>
    </row>
    <row r="198" spans="1:5" x14ac:dyDescent="0.3">
      <c r="A198" s="5" t="s">
        <v>193</v>
      </c>
      <c r="E198">
        <v>14550</v>
      </c>
    </row>
    <row r="199" spans="1:5" x14ac:dyDescent="0.3">
      <c r="A199" s="5" t="s">
        <v>194</v>
      </c>
      <c r="E199">
        <v>4740</v>
      </c>
    </row>
    <row r="200" spans="1:5" x14ac:dyDescent="0.3">
      <c r="A200" s="5" t="s">
        <v>195</v>
      </c>
      <c r="E200">
        <v>15360</v>
      </c>
    </row>
    <row r="201" spans="1:5" x14ac:dyDescent="0.3">
      <c r="A201" s="5" t="s">
        <v>196</v>
      </c>
      <c r="E201">
        <v>31800</v>
      </c>
    </row>
    <row r="202" spans="1:5" x14ac:dyDescent="0.3">
      <c r="A202">
        <v>439</v>
      </c>
      <c r="E202">
        <v>10350</v>
      </c>
    </row>
    <row r="203" spans="1:5" x14ac:dyDescent="0.3">
      <c r="A203" s="5" t="s">
        <v>197</v>
      </c>
      <c r="E203">
        <v>900</v>
      </c>
    </row>
    <row r="204" spans="1:5" x14ac:dyDescent="0.3">
      <c r="A204" s="5" t="s">
        <v>198</v>
      </c>
      <c r="E204">
        <v>38220</v>
      </c>
    </row>
    <row r="205" spans="1:5" x14ac:dyDescent="0.3">
      <c r="A205" s="5" t="s">
        <v>199</v>
      </c>
      <c r="E205">
        <v>4650</v>
      </c>
    </row>
    <row r="206" spans="1:5" x14ac:dyDescent="0.3">
      <c r="A206" s="5" t="s">
        <v>200</v>
      </c>
      <c r="E206">
        <v>4080</v>
      </c>
    </row>
    <row r="207" spans="1:5" x14ac:dyDescent="0.3">
      <c r="A207" s="5" t="s">
        <v>201</v>
      </c>
      <c r="E207">
        <v>109</v>
      </c>
    </row>
    <row r="208" spans="1:5" x14ac:dyDescent="0.3">
      <c r="A208" s="5" t="s">
        <v>202</v>
      </c>
      <c r="E208">
        <v>60750</v>
      </c>
    </row>
    <row r="209" spans="1:5" x14ac:dyDescent="0.3">
      <c r="A209" s="5" t="s">
        <v>203</v>
      </c>
      <c r="E209">
        <v>31230</v>
      </c>
    </row>
    <row r="210" spans="1:5" x14ac:dyDescent="0.3">
      <c r="A210" s="5" t="s">
        <v>204</v>
      </c>
      <c r="E210">
        <v>8880</v>
      </c>
    </row>
    <row r="211" spans="1:5" x14ac:dyDescent="0.3">
      <c r="A211" s="5" t="s">
        <v>205</v>
      </c>
      <c r="E211">
        <v>3600</v>
      </c>
    </row>
    <row r="212" spans="1:5" x14ac:dyDescent="0.3">
      <c r="A212" s="5" t="s">
        <v>206</v>
      </c>
      <c r="E212">
        <v>9750</v>
      </c>
    </row>
    <row r="213" spans="1:5" x14ac:dyDescent="0.3">
      <c r="A213">
        <v>334.72</v>
      </c>
      <c r="E213">
        <v>10860</v>
      </c>
    </row>
    <row r="214" spans="1:5" x14ac:dyDescent="0.3">
      <c r="A214" s="5" t="s">
        <v>207</v>
      </c>
      <c r="E214">
        <v>58320</v>
      </c>
    </row>
    <row r="215" spans="1:5" x14ac:dyDescent="0.3">
      <c r="A215" s="5" t="s">
        <v>208</v>
      </c>
      <c r="E215">
        <v>12060</v>
      </c>
    </row>
    <row r="216" spans="1:5" x14ac:dyDescent="0.3">
      <c r="A216" s="5" t="s">
        <v>209</v>
      </c>
      <c r="E216">
        <v>73</v>
      </c>
    </row>
    <row r="217" spans="1:5" x14ac:dyDescent="0.3">
      <c r="A217" s="5" t="s">
        <v>210</v>
      </c>
      <c r="E217">
        <v>27570</v>
      </c>
    </row>
    <row r="218" spans="1:5" x14ac:dyDescent="0.3">
      <c r="A218" s="5" t="s">
        <v>211</v>
      </c>
      <c r="E218">
        <v>11730</v>
      </c>
    </row>
    <row r="219" spans="1:5" x14ac:dyDescent="0.3">
      <c r="A219" s="5" t="s">
        <v>212</v>
      </c>
      <c r="E219">
        <v>36630</v>
      </c>
    </row>
    <row r="220" spans="1:5" x14ac:dyDescent="0.3">
      <c r="A220" s="5" t="s">
        <v>213</v>
      </c>
      <c r="E220">
        <v>123</v>
      </c>
    </row>
    <row r="221" spans="1:5" x14ac:dyDescent="0.3">
      <c r="A221" s="5" t="s">
        <v>214</v>
      </c>
      <c r="E221">
        <v>98</v>
      </c>
    </row>
    <row r="222" spans="1:5" x14ac:dyDescent="0.3">
      <c r="A222">
        <v>289.76</v>
      </c>
      <c r="E222">
        <v>51960</v>
      </c>
    </row>
    <row r="223" spans="1:5" x14ac:dyDescent="0.3">
      <c r="A223" s="5" t="s">
        <v>215</v>
      </c>
      <c r="E223">
        <v>1380</v>
      </c>
    </row>
    <row r="224" spans="1:5" x14ac:dyDescent="0.3">
      <c r="A224" s="5" t="s">
        <v>216</v>
      </c>
      <c r="E224">
        <v>5730</v>
      </c>
    </row>
    <row r="225" spans="1:5" x14ac:dyDescent="0.3">
      <c r="A225" s="5" t="s">
        <v>217</v>
      </c>
      <c r="E225">
        <v>57630</v>
      </c>
    </row>
    <row r="226" spans="1:5" x14ac:dyDescent="0.3">
      <c r="A226" s="5" t="s">
        <v>218</v>
      </c>
      <c r="E226">
        <v>49440</v>
      </c>
    </row>
    <row r="227" spans="1:5" x14ac:dyDescent="0.3">
      <c r="A227" s="5" t="s">
        <v>219</v>
      </c>
      <c r="E227">
        <v>52050</v>
      </c>
    </row>
    <row r="228" spans="1:5" x14ac:dyDescent="0.3">
      <c r="A228" s="5" t="s">
        <v>220</v>
      </c>
      <c r="E228">
        <v>54930</v>
      </c>
    </row>
    <row r="229" spans="1:5" x14ac:dyDescent="0.3">
      <c r="A229" s="5" t="s">
        <v>221</v>
      </c>
      <c r="E229">
        <v>10860</v>
      </c>
    </row>
    <row r="230" spans="1:5" x14ac:dyDescent="0.3">
      <c r="A230" s="5" t="s">
        <v>222</v>
      </c>
      <c r="E230">
        <v>16350</v>
      </c>
    </row>
    <row r="231" spans="1:5" x14ac:dyDescent="0.3">
      <c r="A231">
        <v>615.04</v>
      </c>
      <c r="E231">
        <v>6870</v>
      </c>
    </row>
    <row r="232" spans="1:5" x14ac:dyDescent="0.3">
      <c r="A232" s="5" t="s">
        <v>223</v>
      </c>
      <c r="E232">
        <v>54630</v>
      </c>
    </row>
    <row r="233" spans="1:5" x14ac:dyDescent="0.3">
      <c r="A233" s="5" t="s">
        <v>224</v>
      </c>
      <c r="E233">
        <v>110</v>
      </c>
    </row>
    <row r="234" spans="1:5" x14ac:dyDescent="0.3">
      <c r="A234" s="5" t="s">
        <v>225</v>
      </c>
      <c r="E234">
        <v>97</v>
      </c>
    </row>
    <row r="235" spans="1:5" x14ac:dyDescent="0.3">
      <c r="A235" s="5" t="s">
        <v>226</v>
      </c>
      <c r="E235">
        <v>61500</v>
      </c>
    </row>
    <row r="236" spans="1:5" x14ac:dyDescent="0.3">
      <c r="A236" s="5" t="s">
        <v>227</v>
      </c>
      <c r="E236">
        <v>9300</v>
      </c>
    </row>
    <row r="237" spans="1:5" x14ac:dyDescent="0.3">
      <c r="A237" s="5" t="s">
        <v>228</v>
      </c>
      <c r="E237">
        <v>14880</v>
      </c>
    </row>
    <row r="238" spans="1:5" x14ac:dyDescent="0.3">
      <c r="A238" s="5" t="s">
        <v>229</v>
      </c>
      <c r="E238">
        <v>4470</v>
      </c>
    </row>
    <row r="239" spans="1:5" x14ac:dyDescent="0.3">
      <c r="A239" s="5" t="s">
        <v>230</v>
      </c>
      <c r="E239">
        <v>7380</v>
      </c>
    </row>
    <row r="240" spans="1:5" x14ac:dyDescent="0.3">
      <c r="A240" s="5" t="s">
        <v>231</v>
      </c>
      <c r="E240">
        <v>39300</v>
      </c>
    </row>
    <row r="241" spans="1:5" x14ac:dyDescent="0.3">
      <c r="A241" s="5" t="s">
        <v>232</v>
      </c>
      <c r="E241">
        <v>25980</v>
      </c>
    </row>
    <row r="242" spans="1:5" x14ac:dyDescent="0.3">
      <c r="A242" s="5" t="s">
        <v>233</v>
      </c>
      <c r="E242">
        <v>56</v>
      </c>
    </row>
    <row r="243" spans="1:5" x14ac:dyDescent="0.3">
      <c r="A243" s="5" t="s">
        <v>234</v>
      </c>
      <c r="E243">
        <v>37260</v>
      </c>
    </row>
    <row r="244" spans="1:5" x14ac:dyDescent="0.3">
      <c r="A244" s="5" t="s">
        <v>235</v>
      </c>
      <c r="E244">
        <v>3510</v>
      </c>
    </row>
    <row r="245" spans="1:5" x14ac:dyDescent="0.3">
      <c r="A245" s="5" t="s">
        <v>236</v>
      </c>
      <c r="E245">
        <v>34650</v>
      </c>
    </row>
    <row r="246" spans="1:5" x14ac:dyDescent="0.3">
      <c r="A246" s="5" t="s">
        <v>237</v>
      </c>
      <c r="E246">
        <v>27420</v>
      </c>
    </row>
    <row r="247" spans="1:5" x14ac:dyDescent="0.3">
      <c r="A247" s="5" t="s">
        <v>238</v>
      </c>
      <c r="E247">
        <v>48300</v>
      </c>
    </row>
    <row r="248" spans="1:5" x14ac:dyDescent="0.3">
      <c r="A248" s="5" t="s">
        <v>239</v>
      </c>
      <c r="E248">
        <v>18510</v>
      </c>
    </row>
    <row r="249" spans="1:5" x14ac:dyDescent="0.3">
      <c r="A249" s="5" t="s">
        <v>240</v>
      </c>
      <c r="E249">
        <v>61920</v>
      </c>
    </row>
    <row r="250" spans="1:5" x14ac:dyDescent="0.3">
      <c r="A250" s="5" t="s">
        <v>241</v>
      </c>
      <c r="E250">
        <v>19260</v>
      </c>
    </row>
    <row r="251" spans="1:5" x14ac:dyDescent="0.3">
      <c r="A251" s="5" t="s">
        <v>242</v>
      </c>
      <c r="E251">
        <v>29940</v>
      </c>
    </row>
    <row r="252" spans="1:5" x14ac:dyDescent="0.3">
      <c r="A252" s="5" t="s">
        <v>243</v>
      </c>
      <c r="E252">
        <v>65430</v>
      </c>
    </row>
    <row r="253" spans="1:5" x14ac:dyDescent="0.3">
      <c r="A253" s="5" t="s">
        <v>244</v>
      </c>
      <c r="E253">
        <v>28650</v>
      </c>
    </row>
    <row r="254" spans="1:5" x14ac:dyDescent="0.3">
      <c r="A254">
        <v>268</v>
      </c>
      <c r="E254">
        <v>1800</v>
      </c>
    </row>
    <row r="255" spans="1:5" x14ac:dyDescent="0.3">
      <c r="A255">
        <v>332.48</v>
      </c>
      <c r="E255">
        <v>2370</v>
      </c>
    </row>
    <row r="256" spans="1:5" x14ac:dyDescent="0.3">
      <c r="A256" s="5" t="s">
        <v>245</v>
      </c>
      <c r="E256">
        <v>61980</v>
      </c>
    </row>
    <row r="257" spans="1:5" x14ac:dyDescent="0.3">
      <c r="A257" s="5" t="s">
        <v>246</v>
      </c>
      <c r="E257">
        <v>11190</v>
      </c>
    </row>
    <row r="258" spans="1:5" x14ac:dyDescent="0.3">
      <c r="A258" s="5" t="s">
        <v>247</v>
      </c>
      <c r="E258">
        <v>55320</v>
      </c>
    </row>
    <row r="259" spans="1:5" x14ac:dyDescent="0.3">
      <c r="A259" s="5" t="s">
        <v>248</v>
      </c>
      <c r="E259">
        <v>6149</v>
      </c>
    </row>
    <row r="260" spans="1:5" x14ac:dyDescent="0.3">
      <c r="A260" s="5" t="s">
        <v>249</v>
      </c>
      <c r="E260">
        <v>28260</v>
      </c>
    </row>
    <row r="261" spans="1:5" x14ac:dyDescent="0.3">
      <c r="A261">
        <v>374.52</v>
      </c>
      <c r="E261">
        <v>4020</v>
      </c>
    </row>
    <row r="262" spans="1:5" x14ac:dyDescent="0.3">
      <c r="A262" s="5" t="s">
        <v>250</v>
      </c>
      <c r="E262">
        <v>7530</v>
      </c>
    </row>
    <row r="263" spans="1:5" x14ac:dyDescent="0.3">
      <c r="A263" s="5" t="s">
        <v>251</v>
      </c>
      <c r="E263">
        <v>19440</v>
      </c>
    </row>
    <row r="264" spans="1:5" x14ac:dyDescent="0.3">
      <c r="A264">
        <v>361</v>
      </c>
      <c r="E264">
        <v>63810</v>
      </c>
    </row>
    <row r="265" spans="1:5" x14ac:dyDescent="0.3">
      <c r="A265" s="5" t="s">
        <v>252</v>
      </c>
      <c r="E265">
        <v>21300</v>
      </c>
    </row>
    <row r="266" spans="1:5" x14ac:dyDescent="0.3">
      <c r="A266" s="5" t="s">
        <v>253</v>
      </c>
      <c r="E266">
        <v>60090</v>
      </c>
    </row>
    <row r="267" spans="1:5" x14ac:dyDescent="0.3">
      <c r="A267" s="5" t="s">
        <v>254</v>
      </c>
      <c r="E267">
        <v>57600</v>
      </c>
    </row>
    <row r="268" spans="1:5" x14ac:dyDescent="0.3">
      <c r="A268" s="5" t="s">
        <v>255</v>
      </c>
      <c r="E268">
        <v>18150</v>
      </c>
    </row>
    <row r="269" spans="1:5" x14ac:dyDescent="0.3">
      <c r="A269" s="5" t="s">
        <v>256</v>
      </c>
      <c r="E269">
        <v>58560</v>
      </c>
    </row>
    <row r="270" spans="1:5" x14ac:dyDescent="0.3">
      <c r="A270">
        <v>297.48</v>
      </c>
      <c r="E270">
        <v>21300</v>
      </c>
    </row>
    <row r="271" spans="1:5" x14ac:dyDescent="0.3">
      <c r="A271">
        <v>523</v>
      </c>
      <c r="E271">
        <v>53940</v>
      </c>
    </row>
    <row r="272" spans="1:5" x14ac:dyDescent="0.3">
      <c r="A272" s="5" t="s">
        <v>257</v>
      </c>
      <c r="E272">
        <v>64890</v>
      </c>
    </row>
    <row r="273" spans="1:5" x14ac:dyDescent="0.3">
      <c r="A273" s="5" t="s">
        <v>258</v>
      </c>
      <c r="E273">
        <v>8940</v>
      </c>
    </row>
    <row r="274" spans="1:5" x14ac:dyDescent="0.3">
      <c r="A274" s="5" t="s">
        <v>259</v>
      </c>
      <c r="E274">
        <v>7560</v>
      </c>
    </row>
    <row r="275" spans="1:5" x14ac:dyDescent="0.3">
      <c r="A275" s="5" t="s">
        <v>260</v>
      </c>
      <c r="E275">
        <v>15660</v>
      </c>
    </row>
    <row r="276" spans="1:5" x14ac:dyDescent="0.3">
      <c r="A276" s="5" t="s">
        <v>261</v>
      </c>
      <c r="E276">
        <v>22320</v>
      </c>
    </row>
    <row r="277" spans="1:5" x14ac:dyDescent="0.3">
      <c r="A277" s="5" t="s">
        <v>262</v>
      </c>
      <c r="E277">
        <v>115</v>
      </c>
    </row>
    <row r="278" spans="1:5" x14ac:dyDescent="0.3">
      <c r="A278" s="5" t="s">
        <v>263</v>
      </c>
      <c r="E278">
        <v>21570</v>
      </c>
    </row>
    <row r="279" spans="1:5" x14ac:dyDescent="0.3">
      <c r="A279" s="5" t="s">
        <v>264</v>
      </c>
      <c r="E279">
        <v>25920</v>
      </c>
    </row>
    <row r="280" spans="1:5" x14ac:dyDescent="0.3">
      <c r="A280" s="5" t="s">
        <v>265</v>
      </c>
      <c r="E280">
        <v>61440</v>
      </c>
    </row>
    <row r="281" spans="1:5" x14ac:dyDescent="0.3">
      <c r="A281">
        <v>339.52</v>
      </c>
      <c r="E281">
        <v>56820</v>
      </c>
    </row>
    <row r="282" spans="1:5" x14ac:dyDescent="0.3">
      <c r="A282" s="5" t="s">
        <v>266</v>
      </c>
      <c r="E282">
        <v>65040</v>
      </c>
    </row>
    <row r="283" spans="1:5" x14ac:dyDescent="0.3">
      <c r="A283" s="5" t="s">
        <v>267</v>
      </c>
      <c r="E283">
        <v>61620</v>
      </c>
    </row>
    <row r="284" spans="1:5" x14ac:dyDescent="0.3">
      <c r="A284">
        <v>1861.92</v>
      </c>
      <c r="E284">
        <v>25050</v>
      </c>
    </row>
    <row r="285" spans="1:5" x14ac:dyDescent="0.3">
      <c r="A285">
        <v>1158.52</v>
      </c>
      <c r="E285">
        <v>37020</v>
      </c>
    </row>
    <row r="286" spans="1:5" x14ac:dyDescent="0.3">
      <c r="A286" s="5" t="s">
        <v>268</v>
      </c>
      <c r="E286">
        <v>65100</v>
      </c>
    </row>
    <row r="287" spans="1:5" x14ac:dyDescent="0.3">
      <c r="A287">
        <v>185</v>
      </c>
      <c r="E287">
        <v>54690</v>
      </c>
    </row>
    <row r="288" spans="1:5" x14ac:dyDescent="0.3">
      <c r="A288" s="5" t="s">
        <v>269</v>
      </c>
      <c r="E288">
        <v>48270</v>
      </c>
    </row>
    <row r="289" spans="1:5" x14ac:dyDescent="0.3">
      <c r="A289" s="5" t="s">
        <v>270</v>
      </c>
      <c r="E289">
        <v>21990</v>
      </c>
    </row>
    <row r="290" spans="1:5" x14ac:dyDescent="0.3">
      <c r="A290">
        <v>1052</v>
      </c>
      <c r="E290">
        <v>55920</v>
      </c>
    </row>
    <row r="291" spans="1:5" x14ac:dyDescent="0.3">
      <c r="A291" s="5" t="s">
        <v>271</v>
      </c>
      <c r="E291">
        <v>58050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A3A5-9285-4DF9-852E-E2749E3394B2}">
  <dimension ref="A1:I291"/>
  <sheetViews>
    <sheetView workbookViewId="0">
      <selection activeCell="E5" sqref="E5"/>
    </sheetView>
  </sheetViews>
  <sheetFormatPr defaultRowHeight="14.4" x14ac:dyDescent="0.3"/>
  <sheetData>
    <row r="1" spans="1:9" x14ac:dyDescent="0.3">
      <c r="A1" t="s">
        <v>0</v>
      </c>
      <c r="D1" t="s">
        <v>1</v>
      </c>
      <c r="G1" t="s">
        <v>2</v>
      </c>
      <c r="H1" t="s">
        <v>3</v>
      </c>
      <c r="I1" t="s">
        <v>4</v>
      </c>
    </row>
    <row r="2" spans="1:9" x14ac:dyDescent="0.3">
      <c r="A2">
        <v>301.92</v>
      </c>
      <c r="D2" t="s">
        <v>5</v>
      </c>
      <c r="E2">
        <v>290</v>
      </c>
      <c r="G2">
        <v>0</v>
      </c>
    </row>
    <row r="3" spans="1:9" x14ac:dyDescent="0.3">
      <c r="A3">
        <v>254.52</v>
      </c>
      <c r="D3" t="s">
        <v>6</v>
      </c>
      <c r="E3">
        <v>5.08</v>
      </c>
      <c r="G3">
        <v>1</v>
      </c>
      <c r="H3">
        <v>5.08</v>
      </c>
      <c r="I3">
        <v>203.15</v>
      </c>
    </row>
    <row r="4" spans="1:9" x14ac:dyDescent="0.3">
      <c r="A4">
        <v>1271.1600000000001</v>
      </c>
      <c r="D4" t="s">
        <v>7</v>
      </c>
      <c r="E4">
        <v>1985.8</v>
      </c>
      <c r="G4">
        <v>2</v>
      </c>
      <c r="H4">
        <v>203.15</v>
      </c>
      <c r="I4">
        <v>401.22</v>
      </c>
    </row>
    <row r="5" spans="1:9" x14ac:dyDescent="0.3">
      <c r="A5">
        <v>293.2</v>
      </c>
      <c r="D5" t="s">
        <v>8</v>
      </c>
      <c r="E5">
        <v>1980.72</v>
      </c>
      <c r="G5">
        <v>3</v>
      </c>
      <c r="H5">
        <v>401.22</v>
      </c>
      <c r="I5">
        <v>599.29999999999995</v>
      </c>
    </row>
    <row r="6" spans="1:9" x14ac:dyDescent="0.3">
      <c r="A6">
        <v>372</v>
      </c>
      <c r="D6" t="s">
        <v>2</v>
      </c>
      <c r="E6">
        <v>10</v>
      </c>
      <c r="G6">
        <v>4</v>
      </c>
      <c r="H6">
        <v>599.29999999999995</v>
      </c>
      <c r="I6">
        <v>797.37</v>
      </c>
    </row>
    <row r="7" spans="1:9" x14ac:dyDescent="0.3">
      <c r="A7">
        <v>190.12</v>
      </c>
      <c r="D7" t="s">
        <v>9</v>
      </c>
      <c r="E7">
        <v>198.072</v>
      </c>
      <c r="G7">
        <v>5</v>
      </c>
      <c r="H7">
        <v>797.37</v>
      </c>
      <c r="I7">
        <v>995.44</v>
      </c>
    </row>
    <row r="8" spans="1:9" x14ac:dyDescent="0.3">
      <c r="A8">
        <v>334.48</v>
      </c>
      <c r="G8">
        <v>6</v>
      </c>
      <c r="H8">
        <v>995.44</v>
      </c>
      <c r="I8">
        <v>1193.51</v>
      </c>
    </row>
    <row r="9" spans="1:9" x14ac:dyDescent="0.3">
      <c r="A9">
        <v>101.28</v>
      </c>
      <c r="G9">
        <v>7</v>
      </c>
      <c r="H9">
        <v>1193.51</v>
      </c>
      <c r="I9">
        <v>1391.58</v>
      </c>
    </row>
    <row r="10" spans="1:9" x14ac:dyDescent="0.3">
      <c r="A10">
        <v>144.32</v>
      </c>
      <c r="G10">
        <v>8</v>
      </c>
      <c r="H10">
        <v>1391.58</v>
      </c>
      <c r="I10">
        <v>1589.66</v>
      </c>
    </row>
    <row r="11" spans="1:9" x14ac:dyDescent="0.3">
      <c r="A11">
        <v>233.08</v>
      </c>
      <c r="G11">
        <v>9</v>
      </c>
      <c r="H11">
        <v>1589.66</v>
      </c>
      <c r="I11">
        <v>1787.73</v>
      </c>
    </row>
    <row r="12" spans="1:9" x14ac:dyDescent="0.3">
      <c r="A12">
        <v>416.52</v>
      </c>
      <c r="G12">
        <v>10</v>
      </c>
      <c r="H12">
        <v>1787.73</v>
      </c>
      <c r="I12">
        <v>1985.8</v>
      </c>
    </row>
    <row r="13" spans="1:9" x14ac:dyDescent="0.3">
      <c r="A13">
        <v>266.39999999999998</v>
      </c>
    </row>
    <row r="14" spans="1:9" x14ac:dyDescent="0.3">
      <c r="A14">
        <v>178.16</v>
      </c>
    </row>
    <row r="15" spans="1:9" x14ac:dyDescent="0.3">
      <c r="A15">
        <v>339.84</v>
      </c>
    </row>
    <row r="16" spans="1:9" x14ac:dyDescent="0.3">
      <c r="A16">
        <v>389.6</v>
      </c>
    </row>
    <row r="17" spans="1:1" x14ac:dyDescent="0.3">
      <c r="A17">
        <v>136.91999999999999</v>
      </c>
    </row>
    <row r="18" spans="1:1" x14ac:dyDescent="0.3">
      <c r="A18">
        <v>446.24</v>
      </c>
    </row>
    <row r="19" spans="1:1" x14ac:dyDescent="0.3">
      <c r="A19">
        <v>277.48</v>
      </c>
    </row>
    <row r="20" spans="1:1" x14ac:dyDescent="0.3">
      <c r="A20">
        <v>209.2</v>
      </c>
    </row>
    <row r="21" spans="1:1" x14ac:dyDescent="0.3">
      <c r="A21">
        <v>154.68</v>
      </c>
    </row>
    <row r="22" spans="1:1" x14ac:dyDescent="0.3">
      <c r="A22">
        <v>293.68</v>
      </c>
    </row>
    <row r="23" spans="1:1" x14ac:dyDescent="0.3">
      <c r="A23">
        <v>205.52</v>
      </c>
    </row>
    <row r="24" spans="1:1" x14ac:dyDescent="0.3">
      <c r="A24">
        <v>342.32</v>
      </c>
    </row>
    <row r="25" spans="1:1" x14ac:dyDescent="0.3">
      <c r="A25">
        <v>383</v>
      </c>
    </row>
    <row r="26" spans="1:1" x14ac:dyDescent="0.3">
      <c r="A26">
        <v>262.64</v>
      </c>
    </row>
    <row r="27" spans="1:1" x14ac:dyDescent="0.3">
      <c r="A27">
        <v>502.96</v>
      </c>
    </row>
    <row r="28" spans="1:1" x14ac:dyDescent="0.3">
      <c r="A28">
        <v>236.96</v>
      </c>
    </row>
    <row r="29" spans="1:1" x14ac:dyDescent="0.3">
      <c r="A29">
        <v>1985.8</v>
      </c>
    </row>
    <row r="30" spans="1:1" x14ac:dyDescent="0.3">
      <c r="A30">
        <v>1200.96</v>
      </c>
    </row>
    <row r="31" spans="1:1" x14ac:dyDescent="0.3">
      <c r="A31">
        <v>106.64</v>
      </c>
    </row>
    <row r="32" spans="1:1" x14ac:dyDescent="0.3">
      <c r="A32">
        <v>247.16</v>
      </c>
    </row>
    <row r="33" spans="1:1" x14ac:dyDescent="0.3">
      <c r="A33">
        <v>1721.12</v>
      </c>
    </row>
    <row r="34" spans="1:1" x14ac:dyDescent="0.3">
      <c r="A34">
        <v>87.76</v>
      </c>
    </row>
    <row r="35" spans="1:1" x14ac:dyDescent="0.3">
      <c r="A35">
        <v>297.48</v>
      </c>
    </row>
    <row r="36" spans="1:1" x14ac:dyDescent="0.3">
      <c r="A36">
        <v>345.8</v>
      </c>
    </row>
    <row r="37" spans="1:1" x14ac:dyDescent="0.3">
      <c r="A37">
        <v>164.08</v>
      </c>
    </row>
    <row r="38" spans="1:1" x14ac:dyDescent="0.3">
      <c r="A38">
        <v>113</v>
      </c>
    </row>
    <row r="39" spans="1:1" x14ac:dyDescent="0.3">
      <c r="A39">
        <v>488.16</v>
      </c>
    </row>
    <row r="40" spans="1:1" x14ac:dyDescent="0.3">
      <c r="A40">
        <v>162.6</v>
      </c>
    </row>
    <row r="41" spans="1:1" x14ac:dyDescent="0.3">
      <c r="A41">
        <v>351.48</v>
      </c>
    </row>
    <row r="42" spans="1:1" x14ac:dyDescent="0.3">
      <c r="A42">
        <v>187.36</v>
      </c>
    </row>
    <row r="43" spans="1:1" x14ac:dyDescent="0.3">
      <c r="A43">
        <v>731.44</v>
      </c>
    </row>
    <row r="44" spans="1:1" x14ac:dyDescent="0.3">
      <c r="A44">
        <v>292.12</v>
      </c>
    </row>
    <row r="45" spans="1:1" x14ac:dyDescent="0.3">
      <c r="A45">
        <v>109.72</v>
      </c>
    </row>
    <row r="46" spans="1:1" x14ac:dyDescent="0.3">
      <c r="A46">
        <v>167.68</v>
      </c>
    </row>
    <row r="47" spans="1:1" x14ac:dyDescent="0.3">
      <c r="A47">
        <v>397.24</v>
      </c>
    </row>
    <row r="48" spans="1:1" x14ac:dyDescent="0.3">
      <c r="A48">
        <v>494.8</v>
      </c>
    </row>
    <row r="49" spans="1:1" x14ac:dyDescent="0.3">
      <c r="A49">
        <v>350</v>
      </c>
    </row>
    <row r="50" spans="1:1" x14ac:dyDescent="0.3">
      <c r="A50">
        <v>276.32</v>
      </c>
    </row>
    <row r="51" spans="1:1" x14ac:dyDescent="0.3">
      <c r="A51">
        <v>186.76</v>
      </c>
    </row>
    <row r="52" spans="1:1" x14ac:dyDescent="0.3">
      <c r="A52">
        <v>267.12</v>
      </c>
    </row>
    <row r="53" spans="1:1" x14ac:dyDescent="0.3">
      <c r="A53">
        <v>255.92</v>
      </c>
    </row>
    <row r="54" spans="1:1" x14ac:dyDescent="0.3">
      <c r="A54">
        <v>201.24</v>
      </c>
    </row>
    <row r="55" spans="1:1" x14ac:dyDescent="0.3">
      <c r="A55">
        <v>501.76</v>
      </c>
    </row>
    <row r="56" spans="1:1" x14ac:dyDescent="0.3">
      <c r="A56">
        <v>416.56</v>
      </c>
    </row>
    <row r="57" spans="1:1" x14ac:dyDescent="0.3">
      <c r="A57">
        <v>297.27999999999997</v>
      </c>
    </row>
    <row r="58" spans="1:1" x14ac:dyDescent="0.3">
      <c r="A58">
        <v>309.36</v>
      </c>
    </row>
    <row r="59" spans="1:1" x14ac:dyDescent="0.3">
      <c r="A59">
        <v>245.6</v>
      </c>
    </row>
    <row r="60" spans="1:1" x14ac:dyDescent="0.3">
      <c r="A60">
        <v>141.91999999999999</v>
      </c>
    </row>
    <row r="61" spans="1:1" x14ac:dyDescent="0.3">
      <c r="A61">
        <v>531.52</v>
      </c>
    </row>
    <row r="62" spans="1:1" x14ac:dyDescent="0.3">
      <c r="A62">
        <v>84.08</v>
      </c>
    </row>
    <row r="63" spans="1:1" x14ac:dyDescent="0.3">
      <c r="A63">
        <v>399.2</v>
      </c>
    </row>
    <row r="64" spans="1:1" x14ac:dyDescent="0.3">
      <c r="A64">
        <v>80.56</v>
      </c>
    </row>
    <row r="65" spans="1:1" x14ac:dyDescent="0.3">
      <c r="A65">
        <v>116.44</v>
      </c>
    </row>
    <row r="66" spans="1:1" x14ac:dyDescent="0.3">
      <c r="A66">
        <v>5.08</v>
      </c>
    </row>
    <row r="67" spans="1:1" x14ac:dyDescent="0.3">
      <c r="A67">
        <v>771.92</v>
      </c>
    </row>
    <row r="68" spans="1:1" x14ac:dyDescent="0.3">
      <c r="A68">
        <v>223</v>
      </c>
    </row>
    <row r="69" spans="1:1" x14ac:dyDescent="0.3">
      <c r="A69">
        <v>500.76</v>
      </c>
    </row>
    <row r="70" spans="1:1" x14ac:dyDescent="0.3">
      <c r="A70">
        <v>210.16</v>
      </c>
    </row>
    <row r="71" spans="1:1" x14ac:dyDescent="0.3">
      <c r="A71">
        <v>247.48</v>
      </c>
    </row>
    <row r="72" spans="1:1" x14ac:dyDescent="0.3">
      <c r="A72">
        <v>245.72</v>
      </c>
    </row>
    <row r="73" spans="1:1" x14ac:dyDescent="0.3">
      <c r="A73">
        <v>301.27999999999997</v>
      </c>
    </row>
    <row r="74" spans="1:1" x14ac:dyDescent="0.3">
      <c r="A74">
        <v>321.32</v>
      </c>
    </row>
    <row r="75" spans="1:1" x14ac:dyDescent="0.3">
      <c r="A75">
        <v>291.8</v>
      </c>
    </row>
    <row r="76" spans="1:1" x14ac:dyDescent="0.3">
      <c r="A76">
        <v>242.24</v>
      </c>
    </row>
    <row r="77" spans="1:1" x14ac:dyDescent="0.3">
      <c r="A77">
        <v>187.8</v>
      </c>
    </row>
    <row r="78" spans="1:1" x14ac:dyDescent="0.3">
      <c r="A78">
        <v>241.28</v>
      </c>
    </row>
    <row r="79" spans="1:1" x14ac:dyDescent="0.3">
      <c r="A79">
        <v>294.39999999999998</v>
      </c>
    </row>
    <row r="80" spans="1:1" x14ac:dyDescent="0.3">
      <c r="A80">
        <v>196.4</v>
      </c>
    </row>
    <row r="81" spans="1:1" x14ac:dyDescent="0.3">
      <c r="A81">
        <v>141.16</v>
      </c>
    </row>
    <row r="82" spans="1:1" x14ac:dyDescent="0.3">
      <c r="A82">
        <v>388.08</v>
      </c>
    </row>
    <row r="83" spans="1:1" x14ac:dyDescent="0.3">
      <c r="A83">
        <v>1477.28</v>
      </c>
    </row>
    <row r="84" spans="1:1" x14ac:dyDescent="0.3">
      <c r="A84">
        <v>1185.3599999999999</v>
      </c>
    </row>
    <row r="85" spans="1:1" x14ac:dyDescent="0.3">
      <c r="A85">
        <v>1682.76</v>
      </c>
    </row>
    <row r="86" spans="1:1" x14ac:dyDescent="0.3">
      <c r="A86">
        <v>796.16</v>
      </c>
    </row>
    <row r="87" spans="1:1" x14ac:dyDescent="0.3">
      <c r="A87">
        <v>332.28</v>
      </c>
    </row>
    <row r="88" spans="1:1" x14ac:dyDescent="0.3">
      <c r="A88">
        <v>251.72</v>
      </c>
    </row>
    <row r="89" spans="1:1" x14ac:dyDescent="0.3">
      <c r="A89">
        <v>310.64</v>
      </c>
    </row>
    <row r="90" spans="1:1" x14ac:dyDescent="0.3">
      <c r="A90">
        <v>102.84</v>
      </c>
    </row>
    <row r="91" spans="1:1" x14ac:dyDescent="0.3">
      <c r="A91">
        <v>413.16</v>
      </c>
    </row>
    <row r="92" spans="1:1" x14ac:dyDescent="0.3">
      <c r="A92">
        <v>246.84</v>
      </c>
    </row>
    <row r="93" spans="1:1" x14ac:dyDescent="0.3">
      <c r="A93">
        <v>317.36</v>
      </c>
    </row>
    <row r="94" spans="1:1" x14ac:dyDescent="0.3">
      <c r="A94">
        <v>11.08</v>
      </c>
    </row>
    <row r="95" spans="1:1" x14ac:dyDescent="0.3">
      <c r="A95">
        <v>158.84</v>
      </c>
    </row>
    <row r="96" spans="1:1" x14ac:dyDescent="0.3">
      <c r="A96">
        <v>1220.32</v>
      </c>
    </row>
    <row r="97" spans="1:1" x14ac:dyDescent="0.3">
      <c r="A97">
        <v>630.08000000000004</v>
      </c>
    </row>
    <row r="98" spans="1:1" x14ac:dyDescent="0.3">
      <c r="A98">
        <v>58.76</v>
      </c>
    </row>
    <row r="99" spans="1:1" x14ac:dyDescent="0.3">
      <c r="A99">
        <v>464.08</v>
      </c>
    </row>
    <row r="100" spans="1:1" x14ac:dyDescent="0.3">
      <c r="A100">
        <v>308.12</v>
      </c>
    </row>
    <row r="101" spans="1:1" x14ac:dyDescent="0.3">
      <c r="A101">
        <v>351.84</v>
      </c>
    </row>
    <row r="102" spans="1:1" x14ac:dyDescent="0.3">
      <c r="A102">
        <v>359.56</v>
      </c>
    </row>
    <row r="103" spans="1:1" x14ac:dyDescent="0.3">
      <c r="A103">
        <v>333.32</v>
      </c>
    </row>
    <row r="104" spans="1:1" x14ac:dyDescent="0.3">
      <c r="A104">
        <v>21.12</v>
      </c>
    </row>
    <row r="105" spans="1:1" x14ac:dyDescent="0.3">
      <c r="A105">
        <v>344.56</v>
      </c>
    </row>
    <row r="106" spans="1:1" x14ac:dyDescent="0.3">
      <c r="A106">
        <v>244.24</v>
      </c>
    </row>
    <row r="107" spans="1:1" x14ac:dyDescent="0.3">
      <c r="A107">
        <v>277.83999999999997</v>
      </c>
    </row>
    <row r="108" spans="1:1" x14ac:dyDescent="0.3">
      <c r="A108">
        <v>588.28</v>
      </c>
    </row>
    <row r="109" spans="1:1" x14ac:dyDescent="0.3">
      <c r="A109">
        <v>127.56</v>
      </c>
    </row>
    <row r="110" spans="1:1" x14ac:dyDescent="0.3">
      <c r="A110">
        <v>485.68</v>
      </c>
    </row>
    <row r="111" spans="1:1" x14ac:dyDescent="0.3">
      <c r="A111">
        <v>154.08000000000001</v>
      </c>
    </row>
    <row r="112" spans="1:1" x14ac:dyDescent="0.3">
      <c r="A112">
        <v>518.84</v>
      </c>
    </row>
    <row r="113" spans="1:1" x14ac:dyDescent="0.3">
      <c r="A113">
        <v>331.56</v>
      </c>
    </row>
    <row r="114" spans="1:1" x14ac:dyDescent="0.3">
      <c r="A114">
        <v>341.8</v>
      </c>
    </row>
    <row r="115" spans="1:1" x14ac:dyDescent="0.3">
      <c r="A115">
        <v>158.36000000000001</v>
      </c>
    </row>
    <row r="116" spans="1:1" x14ac:dyDescent="0.3">
      <c r="A116">
        <v>609.72</v>
      </c>
    </row>
    <row r="117" spans="1:1" x14ac:dyDescent="0.3">
      <c r="A117">
        <v>392.48</v>
      </c>
    </row>
    <row r="118" spans="1:1" x14ac:dyDescent="0.3">
      <c r="A118">
        <v>325.2</v>
      </c>
    </row>
    <row r="119" spans="1:1" x14ac:dyDescent="0.3">
      <c r="A119">
        <v>688.12</v>
      </c>
    </row>
    <row r="120" spans="1:1" x14ac:dyDescent="0.3">
      <c r="A120">
        <v>448.84</v>
      </c>
    </row>
    <row r="121" spans="1:1" x14ac:dyDescent="0.3">
      <c r="A121">
        <v>846</v>
      </c>
    </row>
    <row r="122" spans="1:1" x14ac:dyDescent="0.3">
      <c r="A122">
        <v>251.12</v>
      </c>
    </row>
    <row r="123" spans="1:1" x14ac:dyDescent="0.3">
      <c r="A123">
        <v>375.88</v>
      </c>
    </row>
    <row r="124" spans="1:1" x14ac:dyDescent="0.3">
      <c r="A124">
        <v>55.08</v>
      </c>
    </row>
    <row r="125" spans="1:1" x14ac:dyDescent="0.3">
      <c r="A125">
        <v>264.83999999999997</v>
      </c>
    </row>
    <row r="126" spans="1:1" x14ac:dyDescent="0.3">
      <c r="A126">
        <v>252.68</v>
      </c>
    </row>
    <row r="127" spans="1:1" x14ac:dyDescent="0.3">
      <c r="A127">
        <v>288.95999999999998</v>
      </c>
    </row>
    <row r="128" spans="1:1" x14ac:dyDescent="0.3">
      <c r="A128">
        <v>60.04</v>
      </c>
    </row>
    <row r="129" spans="1:1" x14ac:dyDescent="0.3">
      <c r="A129">
        <v>1107.8800000000001</v>
      </c>
    </row>
    <row r="130" spans="1:1" x14ac:dyDescent="0.3">
      <c r="A130">
        <v>333.28</v>
      </c>
    </row>
    <row r="131" spans="1:1" x14ac:dyDescent="0.3">
      <c r="A131">
        <v>219.12</v>
      </c>
    </row>
    <row r="132" spans="1:1" x14ac:dyDescent="0.3">
      <c r="A132">
        <v>226.68</v>
      </c>
    </row>
    <row r="133" spans="1:1" x14ac:dyDescent="0.3">
      <c r="A133">
        <v>280.39999999999998</v>
      </c>
    </row>
    <row r="134" spans="1:1" x14ac:dyDescent="0.3">
      <c r="A134">
        <v>355.28</v>
      </c>
    </row>
    <row r="135" spans="1:1" x14ac:dyDescent="0.3">
      <c r="A135">
        <v>301.04000000000002</v>
      </c>
    </row>
    <row r="136" spans="1:1" x14ac:dyDescent="0.3">
      <c r="A136">
        <v>520.12</v>
      </c>
    </row>
    <row r="137" spans="1:1" x14ac:dyDescent="0.3">
      <c r="A137">
        <v>411.2</v>
      </c>
    </row>
    <row r="138" spans="1:1" x14ac:dyDescent="0.3">
      <c r="A138">
        <v>47.68</v>
      </c>
    </row>
    <row r="139" spans="1:1" x14ac:dyDescent="0.3">
      <c r="A139">
        <v>326.8</v>
      </c>
    </row>
    <row r="140" spans="1:1" x14ac:dyDescent="0.3">
      <c r="A140">
        <v>217.64</v>
      </c>
    </row>
    <row r="141" spans="1:1" x14ac:dyDescent="0.3">
      <c r="A141">
        <v>349.28</v>
      </c>
    </row>
    <row r="142" spans="1:1" x14ac:dyDescent="0.3">
      <c r="A142">
        <v>378.44</v>
      </c>
    </row>
    <row r="143" spans="1:1" x14ac:dyDescent="0.3">
      <c r="A143">
        <v>739.04</v>
      </c>
    </row>
    <row r="144" spans="1:1" x14ac:dyDescent="0.3">
      <c r="A144">
        <v>184.52</v>
      </c>
    </row>
    <row r="145" spans="1:1" x14ac:dyDescent="0.3">
      <c r="A145">
        <v>365.52</v>
      </c>
    </row>
    <row r="146" spans="1:1" x14ac:dyDescent="0.3">
      <c r="A146">
        <v>434.8</v>
      </c>
    </row>
    <row r="147" spans="1:1" x14ac:dyDescent="0.3">
      <c r="A147">
        <v>1352.32</v>
      </c>
    </row>
    <row r="148" spans="1:1" x14ac:dyDescent="0.3">
      <c r="A148">
        <v>309.76</v>
      </c>
    </row>
    <row r="149" spans="1:1" x14ac:dyDescent="0.3">
      <c r="A149">
        <v>506.92</v>
      </c>
    </row>
    <row r="150" spans="1:1" x14ac:dyDescent="0.3">
      <c r="A150">
        <v>70.72</v>
      </c>
    </row>
    <row r="151" spans="1:1" x14ac:dyDescent="0.3">
      <c r="A151">
        <v>349.92</v>
      </c>
    </row>
    <row r="152" spans="1:1" x14ac:dyDescent="0.3">
      <c r="A152">
        <v>147.68</v>
      </c>
    </row>
    <row r="153" spans="1:1" x14ac:dyDescent="0.3">
      <c r="A153">
        <v>412.84</v>
      </c>
    </row>
    <row r="154" spans="1:1" x14ac:dyDescent="0.3">
      <c r="A154">
        <v>128.08000000000001</v>
      </c>
    </row>
    <row r="155" spans="1:1" x14ac:dyDescent="0.3">
      <c r="A155">
        <v>76.08</v>
      </c>
    </row>
    <row r="156" spans="1:1" x14ac:dyDescent="0.3">
      <c r="A156">
        <v>315.12</v>
      </c>
    </row>
    <row r="157" spans="1:1" x14ac:dyDescent="0.3">
      <c r="A157">
        <v>398.92</v>
      </c>
    </row>
    <row r="158" spans="1:1" x14ac:dyDescent="0.3">
      <c r="A158">
        <v>238.36</v>
      </c>
    </row>
    <row r="159" spans="1:1" x14ac:dyDescent="0.3">
      <c r="A159">
        <v>369.6</v>
      </c>
    </row>
    <row r="160" spans="1:1" x14ac:dyDescent="0.3">
      <c r="A160">
        <v>1056.56</v>
      </c>
    </row>
    <row r="161" spans="1:1" x14ac:dyDescent="0.3">
      <c r="A161">
        <v>911.36</v>
      </c>
    </row>
    <row r="162" spans="1:1" x14ac:dyDescent="0.3">
      <c r="A162">
        <v>441.28</v>
      </c>
    </row>
    <row r="163" spans="1:1" x14ac:dyDescent="0.3">
      <c r="A163">
        <v>360.4</v>
      </c>
    </row>
    <row r="164" spans="1:1" x14ac:dyDescent="0.3">
      <c r="A164">
        <v>230.72</v>
      </c>
    </row>
    <row r="165" spans="1:1" x14ac:dyDescent="0.3">
      <c r="A165">
        <v>1703.04</v>
      </c>
    </row>
    <row r="166" spans="1:1" x14ac:dyDescent="0.3">
      <c r="A166">
        <v>312.04000000000002</v>
      </c>
    </row>
    <row r="167" spans="1:1" x14ac:dyDescent="0.3">
      <c r="A167">
        <v>177.2</v>
      </c>
    </row>
    <row r="168" spans="1:1" x14ac:dyDescent="0.3">
      <c r="A168">
        <v>256.44</v>
      </c>
    </row>
    <row r="169" spans="1:1" x14ac:dyDescent="0.3">
      <c r="A169">
        <v>21.24</v>
      </c>
    </row>
    <row r="170" spans="1:1" x14ac:dyDescent="0.3">
      <c r="A170">
        <v>817.88</v>
      </c>
    </row>
    <row r="171" spans="1:1" x14ac:dyDescent="0.3">
      <c r="A171">
        <v>101.04</v>
      </c>
    </row>
    <row r="172" spans="1:1" x14ac:dyDescent="0.3">
      <c r="A172">
        <v>187.36</v>
      </c>
    </row>
    <row r="173" spans="1:1" x14ac:dyDescent="0.3">
      <c r="A173">
        <v>277.39999999999998</v>
      </c>
    </row>
    <row r="174" spans="1:1" x14ac:dyDescent="0.3">
      <c r="A174">
        <v>282.88</v>
      </c>
    </row>
    <row r="175" spans="1:1" x14ac:dyDescent="0.3">
      <c r="A175">
        <v>255.2</v>
      </c>
    </row>
    <row r="176" spans="1:1" x14ac:dyDescent="0.3">
      <c r="A176">
        <v>234.6</v>
      </c>
    </row>
    <row r="177" spans="1:1" x14ac:dyDescent="0.3">
      <c r="A177">
        <v>288.52</v>
      </c>
    </row>
    <row r="178" spans="1:1" x14ac:dyDescent="0.3">
      <c r="A178">
        <v>733.04</v>
      </c>
    </row>
    <row r="179" spans="1:1" x14ac:dyDescent="0.3">
      <c r="A179">
        <v>234.32</v>
      </c>
    </row>
    <row r="180" spans="1:1" x14ac:dyDescent="0.3">
      <c r="A180">
        <v>1902.12</v>
      </c>
    </row>
    <row r="181" spans="1:1" x14ac:dyDescent="0.3">
      <c r="A181">
        <v>145.52000000000001</v>
      </c>
    </row>
    <row r="182" spans="1:1" x14ac:dyDescent="0.3">
      <c r="A182">
        <v>118.24</v>
      </c>
    </row>
    <row r="183" spans="1:1" x14ac:dyDescent="0.3">
      <c r="A183">
        <v>762.32</v>
      </c>
    </row>
    <row r="184" spans="1:1" x14ac:dyDescent="0.3">
      <c r="A184">
        <v>705.64</v>
      </c>
    </row>
    <row r="185" spans="1:1" x14ac:dyDescent="0.3">
      <c r="A185">
        <v>550.08000000000004</v>
      </c>
    </row>
    <row r="186" spans="1:1" x14ac:dyDescent="0.3">
      <c r="A186">
        <v>246</v>
      </c>
    </row>
    <row r="187" spans="1:1" x14ac:dyDescent="0.3">
      <c r="A187">
        <v>624.16</v>
      </c>
    </row>
    <row r="188" spans="1:1" x14ac:dyDescent="0.3">
      <c r="A188">
        <v>298.36</v>
      </c>
    </row>
    <row r="189" spans="1:1" x14ac:dyDescent="0.3">
      <c r="A189">
        <v>399.28</v>
      </c>
    </row>
    <row r="190" spans="1:1" x14ac:dyDescent="0.3">
      <c r="A190">
        <v>556.6</v>
      </c>
    </row>
    <row r="191" spans="1:1" x14ac:dyDescent="0.3">
      <c r="A191">
        <v>390.16</v>
      </c>
    </row>
    <row r="192" spans="1:1" x14ac:dyDescent="0.3">
      <c r="A192">
        <v>198.96</v>
      </c>
    </row>
    <row r="193" spans="1:1" x14ac:dyDescent="0.3">
      <c r="A193">
        <v>83.88</v>
      </c>
    </row>
    <row r="194" spans="1:1" x14ac:dyDescent="0.3">
      <c r="A194">
        <v>9.84</v>
      </c>
    </row>
    <row r="195" spans="1:1" x14ac:dyDescent="0.3">
      <c r="A195">
        <v>232.96</v>
      </c>
    </row>
    <row r="196" spans="1:1" x14ac:dyDescent="0.3">
      <c r="A196">
        <v>377.68</v>
      </c>
    </row>
    <row r="197" spans="1:1" x14ac:dyDescent="0.3">
      <c r="A197">
        <v>287.8</v>
      </c>
    </row>
    <row r="198" spans="1:1" x14ac:dyDescent="0.3">
      <c r="A198">
        <v>417.32</v>
      </c>
    </row>
    <row r="199" spans="1:1" x14ac:dyDescent="0.3">
      <c r="A199">
        <v>336.24</v>
      </c>
    </row>
    <row r="200" spans="1:1" x14ac:dyDescent="0.3">
      <c r="A200">
        <v>388.12</v>
      </c>
    </row>
    <row r="201" spans="1:1" x14ac:dyDescent="0.3">
      <c r="A201">
        <v>291.72000000000003</v>
      </c>
    </row>
    <row r="202" spans="1:1" x14ac:dyDescent="0.3">
      <c r="A202">
        <v>439</v>
      </c>
    </row>
    <row r="203" spans="1:1" x14ac:dyDescent="0.3">
      <c r="A203">
        <v>379.68</v>
      </c>
    </row>
    <row r="204" spans="1:1" x14ac:dyDescent="0.3">
      <c r="A204">
        <v>249.16</v>
      </c>
    </row>
    <row r="205" spans="1:1" x14ac:dyDescent="0.3">
      <c r="A205">
        <v>135.84</v>
      </c>
    </row>
    <row r="206" spans="1:1" x14ac:dyDescent="0.3">
      <c r="A206">
        <v>341.16</v>
      </c>
    </row>
    <row r="207" spans="1:1" x14ac:dyDescent="0.3">
      <c r="A207">
        <v>147.6</v>
      </c>
    </row>
    <row r="208" spans="1:1" x14ac:dyDescent="0.3">
      <c r="A208">
        <v>163.32</v>
      </c>
    </row>
    <row r="209" spans="1:1" x14ac:dyDescent="0.3">
      <c r="A209">
        <v>380.44</v>
      </c>
    </row>
    <row r="210" spans="1:1" x14ac:dyDescent="0.3">
      <c r="A210">
        <v>313.95999999999998</v>
      </c>
    </row>
    <row r="211" spans="1:1" x14ac:dyDescent="0.3">
      <c r="A211">
        <v>281.92</v>
      </c>
    </row>
    <row r="212" spans="1:1" x14ac:dyDescent="0.3">
      <c r="A212">
        <v>268.08</v>
      </c>
    </row>
    <row r="213" spans="1:1" x14ac:dyDescent="0.3">
      <c r="A213">
        <v>334.72</v>
      </c>
    </row>
    <row r="214" spans="1:1" x14ac:dyDescent="0.3">
      <c r="A214">
        <v>189.92</v>
      </c>
    </row>
    <row r="215" spans="1:1" x14ac:dyDescent="0.3">
      <c r="A215">
        <v>207.72</v>
      </c>
    </row>
    <row r="216" spans="1:1" x14ac:dyDescent="0.3">
      <c r="A216">
        <v>485.4</v>
      </c>
    </row>
    <row r="217" spans="1:1" x14ac:dyDescent="0.3">
      <c r="A217">
        <v>221.96</v>
      </c>
    </row>
    <row r="218" spans="1:1" x14ac:dyDescent="0.3">
      <c r="A218">
        <v>403.2</v>
      </c>
    </row>
    <row r="219" spans="1:1" x14ac:dyDescent="0.3">
      <c r="A219">
        <v>249.8</v>
      </c>
    </row>
    <row r="220" spans="1:1" x14ac:dyDescent="0.3">
      <c r="A220">
        <v>314.32</v>
      </c>
    </row>
    <row r="221" spans="1:1" x14ac:dyDescent="0.3">
      <c r="A221">
        <v>273.88</v>
      </c>
    </row>
    <row r="222" spans="1:1" x14ac:dyDescent="0.3">
      <c r="A222">
        <v>289.76</v>
      </c>
    </row>
    <row r="223" spans="1:1" x14ac:dyDescent="0.3">
      <c r="A223">
        <v>222.4</v>
      </c>
    </row>
    <row r="224" spans="1:1" x14ac:dyDescent="0.3">
      <c r="A224">
        <v>464.12</v>
      </c>
    </row>
    <row r="225" spans="1:1" x14ac:dyDescent="0.3">
      <c r="A225">
        <v>174.16</v>
      </c>
    </row>
    <row r="226" spans="1:1" x14ac:dyDescent="0.3">
      <c r="A226">
        <v>301.83999999999997</v>
      </c>
    </row>
    <row r="227" spans="1:1" x14ac:dyDescent="0.3">
      <c r="A227">
        <v>396.4</v>
      </c>
    </row>
    <row r="228" spans="1:1" x14ac:dyDescent="0.3">
      <c r="A228">
        <v>279.27999999999997</v>
      </c>
    </row>
    <row r="229" spans="1:1" x14ac:dyDescent="0.3">
      <c r="A229">
        <v>238.2</v>
      </c>
    </row>
    <row r="230" spans="1:1" x14ac:dyDescent="0.3">
      <c r="A230">
        <v>139.84</v>
      </c>
    </row>
    <row r="231" spans="1:1" x14ac:dyDescent="0.3">
      <c r="A231">
        <v>615.04</v>
      </c>
    </row>
    <row r="232" spans="1:1" x14ac:dyDescent="0.3">
      <c r="A232">
        <v>742.28</v>
      </c>
    </row>
    <row r="233" spans="1:1" x14ac:dyDescent="0.3">
      <c r="A233">
        <v>156.76</v>
      </c>
    </row>
    <row r="234" spans="1:1" x14ac:dyDescent="0.3">
      <c r="A234">
        <v>603.84</v>
      </c>
    </row>
    <row r="235" spans="1:1" x14ac:dyDescent="0.3">
      <c r="A235">
        <v>401.12</v>
      </c>
    </row>
    <row r="236" spans="1:1" x14ac:dyDescent="0.3">
      <c r="A236">
        <v>186.68</v>
      </c>
    </row>
    <row r="237" spans="1:1" x14ac:dyDescent="0.3">
      <c r="A237">
        <v>313.04000000000002</v>
      </c>
    </row>
    <row r="238" spans="1:1" x14ac:dyDescent="0.3">
      <c r="A238">
        <v>438.08</v>
      </c>
    </row>
    <row r="239" spans="1:1" x14ac:dyDescent="0.3">
      <c r="A239">
        <v>164.76</v>
      </c>
    </row>
    <row r="240" spans="1:1" x14ac:dyDescent="0.3">
      <c r="A240">
        <v>281.83999999999997</v>
      </c>
    </row>
    <row r="241" spans="1:1" x14ac:dyDescent="0.3">
      <c r="A241">
        <v>766.8</v>
      </c>
    </row>
    <row r="242" spans="1:1" x14ac:dyDescent="0.3">
      <c r="A242">
        <v>816.16</v>
      </c>
    </row>
    <row r="243" spans="1:1" x14ac:dyDescent="0.3">
      <c r="A243">
        <v>190.08</v>
      </c>
    </row>
    <row r="244" spans="1:1" x14ac:dyDescent="0.3">
      <c r="A244">
        <v>230.32</v>
      </c>
    </row>
    <row r="245" spans="1:1" x14ac:dyDescent="0.3">
      <c r="A245">
        <v>258.24</v>
      </c>
    </row>
    <row r="246" spans="1:1" x14ac:dyDescent="0.3">
      <c r="A246">
        <v>285.08</v>
      </c>
    </row>
    <row r="247" spans="1:1" x14ac:dyDescent="0.3">
      <c r="A247">
        <v>404.8</v>
      </c>
    </row>
    <row r="248" spans="1:1" x14ac:dyDescent="0.3">
      <c r="A248">
        <v>272.08</v>
      </c>
    </row>
    <row r="249" spans="1:1" x14ac:dyDescent="0.3">
      <c r="A249">
        <v>513.16</v>
      </c>
    </row>
    <row r="250" spans="1:1" x14ac:dyDescent="0.3">
      <c r="A250">
        <v>114.56</v>
      </c>
    </row>
    <row r="251" spans="1:1" x14ac:dyDescent="0.3">
      <c r="A251">
        <v>441.76</v>
      </c>
    </row>
    <row r="252" spans="1:1" x14ac:dyDescent="0.3">
      <c r="A252">
        <v>350.96</v>
      </c>
    </row>
    <row r="253" spans="1:1" x14ac:dyDescent="0.3">
      <c r="A253">
        <v>324.64</v>
      </c>
    </row>
    <row r="254" spans="1:1" x14ac:dyDescent="0.3">
      <c r="A254">
        <v>268</v>
      </c>
    </row>
    <row r="255" spans="1:1" x14ac:dyDescent="0.3">
      <c r="A255">
        <v>332.48</v>
      </c>
    </row>
    <row r="256" spans="1:1" x14ac:dyDescent="0.3">
      <c r="A256">
        <v>406.88</v>
      </c>
    </row>
    <row r="257" spans="1:1" x14ac:dyDescent="0.3">
      <c r="A257">
        <v>425.8</v>
      </c>
    </row>
    <row r="258" spans="1:1" x14ac:dyDescent="0.3">
      <c r="A258">
        <v>375.68</v>
      </c>
    </row>
    <row r="259" spans="1:1" x14ac:dyDescent="0.3">
      <c r="A259">
        <v>402.56</v>
      </c>
    </row>
    <row r="260" spans="1:1" x14ac:dyDescent="0.3">
      <c r="A260">
        <v>421.68</v>
      </c>
    </row>
    <row r="261" spans="1:1" x14ac:dyDescent="0.3">
      <c r="A261">
        <v>374.52</v>
      </c>
    </row>
    <row r="262" spans="1:1" x14ac:dyDescent="0.3">
      <c r="A262">
        <v>402.32</v>
      </c>
    </row>
    <row r="263" spans="1:1" x14ac:dyDescent="0.3">
      <c r="A263">
        <v>243.2</v>
      </c>
    </row>
    <row r="264" spans="1:1" x14ac:dyDescent="0.3">
      <c r="A264">
        <v>361</v>
      </c>
    </row>
    <row r="265" spans="1:1" x14ac:dyDescent="0.3">
      <c r="A265">
        <v>171.88</v>
      </c>
    </row>
    <row r="266" spans="1:1" x14ac:dyDescent="0.3">
      <c r="A266">
        <v>213.88</v>
      </c>
    </row>
    <row r="267" spans="1:1" x14ac:dyDescent="0.3">
      <c r="A267">
        <v>241.64</v>
      </c>
    </row>
    <row r="268" spans="1:1" x14ac:dyDescent="0.3">
      <c r="A268">
        <v>204.16</v>
      </c>
    </row>
    <row r="269" spans="1:1" x14ac:dyDescent="0.3">
      <c r="A269">
        <v>236.4</v>
      </c>
    </row>
    <row r="270" spans="1:1" x14ac:dyDescent="0.3">
      <c r="A270">
        <v>297.48</v>
      </c>
    </row>
    <row r="271" spans="1:1" x14ac:dyDescent="0.3">
      <c r="A271">
        <v>523</v>
      </c>
    </row>
    <row r="272" spans="1:1" x14ac:dyDescent="0.3">
      <c r="A272">
        <v>177.08</v>
      </c>
    </row>
    <row r="273" spans="1:1" x14ac:dyDescent="0.3">
      <c r="A273">
        <v>174.44</v>
      </c>
    </row>
    <row r="274" spans="1:1" x14ac:dyDescent="0.3">
      <c r="A274">
        <v>213.76</v>
      </c>
    </row>
    <row r="275" spans="1:1" x14ac:dyDescent="0.3">
      <c r="A275">
        <v>1636.24</v>
      </c>
    </row>
    <row r="276" spans="1:1" x14ac:dyDescent="0.3">
      <c r="A276">
        <v>203.16</v>
      </c>
    </row>
    <row r="277" spans="1:1" x14ac:dyDescent="0.3">
      <c r="A277">
        <v>199.92</v>
      </c>
    </row>
    <row r="278" spans="1:1" x14ac:dyDescent="0.3">
      <c r="A278">
        <v>357.12</v>
      </c>
    </row>
    <row r="279" spans="1:1" x14ac:dyDescent="0.3">
      <c r="A279">
        <v>282.68</v>
      </c>
    </row>
    <row r="280" spans="1:1" x14ac:dyDescent="0.3">
      <c r="A280">
        <v>333.88</v>
      </c>
    </row>
    <row r="281" spans="1:1" x14ac:dyDescent="0.3">
      <c r="A281">
        <v>339.52</v>
      </c>
    </row>
    <row r="282" spans="1:1" x14ac:dyDescent="0.3">
      <c r="A282">
        <v>434.88</v>
      </c>
    </row>
    <row r="283" spans="1:1" x14ac:dyDescent="0.3">
      <c r="A283">
        <v>210.08</v>
      </c>
    </row>
    <row r="284" spans="1:1" x14ac:dyDescent="0.3">
      <c r="A284">
        <v>1861.92</v>
      </c>
    </row>
    <row r="285" spans="1:1" x14ac:dyDescent="0.3">
      <c r="A285">
        <v>1158.52</v>
      </c>
    </row>
    <row r="286" spans="1:1" x14ac:dyDescent="0.3">
      <c r="A286">
        <v>1095.5999999999999</v>
      </c>
    </row>
    <row r="287" spans="1:1" x14ac:dyDescent="0.3">
      <c r="A287">
        <v>185</v>
      </c>
    </row>
    <row r="288" spans="1:1" x14ac:dyDescent="0.3">
      <c r="A288">
        <v>105.04</v>
      </c>
    </row>
    <row r="289" spans="1:1" x14ac:dyDescent="0.3">
      <c r="A289">
        <v>293.92</v>
      </c>
    </row>
    <row r="290" spans="1:1" x14ac:dyDescent="0.3">
      <c r="A290">
        <v>1052</v>
      </c>
    </row>
    <row r="291" spans="1:1" x14ac:dyDescent="0.3">
      <c r="A291">
        <v>299.2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E7F7-59A0-4FD8-9361-E2DFAC9CAD2B}">
  <dimension ref="A1:Z38"/>
  <sheetViews>
    <sheetView topLeftCell="A4" zoomScaleNormal="100" workbookViewId="0">
      <selection activeCell="Q39" sqref="Q39"/>
    </sheetView>
  </sheetViews>
  <sheetFormatPr defaultRowHeight="14.4" x14ac:dyDescent="0.3"/>
  <cols>
    <col min="3" max="7" width="12.33203125" customWidth="1"/>
  </cols>
  <sheetData>
    <row r="1" spans="1:7" x14ac:dyDescent="0.3">
      <c r="A1" s="6" t="s">
        <v>13</v>
      </c>
      <c r="B1" s="6"/>
      <c r="C1" s="4" t="s">
        <v>14</v>
      </c>
      <c r="D1" s="4" t="s">
        <v>11</v>
      </c>
      <c r="E1" s="4" t="s">
        <v>15</v>
      </c>
      <c r="F1" s="4" t="s">
        <v>16</v>
      </c>
      <c r="G1" s="4" t="s">
        <v>12</v>
      </c>
    </row>
    <row r="2" spans="1:7" x14ac:dyDescent="0.3">
      <c r="A2">
        <v>5.08</v>
      </c>
      <c r="B2">
        <v>203.15</v>
      </c>
      <c r="C2">
        <f>(A2+B2)/2</f>
        <v>104.11500000000001</v>
      </c>
      <c r="D2">
        <v>66</v>
      </c>
      <c r="E2">
        <f>D2</f>
        <v>66</v>
      </c>
      <c r="F2" s="1">
        <f>D2/$E$11</f>
        <v>0.22837370242214533</v>
      </c>
      <c r="G2" s="1">
        <v>0.22837370242214533</v>
      </c>
    </row>
    <row r="3" spans="1:7" x14ac:dyDescent="0.3">
      <c r="A3">
        <v>203.15</v>
      </c>
      <c r="B3">
        <v>401.22</v>
      </c>
      <c r="C3">
        <f t="shared" ref="C3:C11" si="0">(A3+B3)/2</f>
        <v>302.185</v>
      </c>
      <c r="D3">
        <v>147</v>
      </c>
      <c r="E3">
        <f>D3+E2</f>
        <v>213</v>
      </c>
      <c r="F3" s="1">
        <f t="shared" ref="F3:F11" si="1">D3/$E$11</f>
        <v>0.50865051903114189</v>
      </c>
      <c r="G3" s="1">
        <v>0.73702422145328716</v>
      </c>
    </row>
    <row r="4" spans="1:7" x14ac:dyDescent="0.3">
      <c r="A4">
        <v>401.22</v>
      </c>
      <c r="B4">
        <v>599.29999999999995</v>
      </c>
      <c r="C4">
        <f t="shared" si="0"/>
        <v>500.26</v>
      </c>
      <c r="D4">
        <v>39</v>
      </c>
      <c r="E4">
        <f t="shared" ref="E4:E11" si="2">D4+E3</f>
        <v>252</v>
      </c>
      <c r="F4" s="1">
        <f t="shared" si="1"/>
        <v>0.13494809688581316</v>
      </c>
      <c r="G4" s="1">
        <v>0.87197231833910038</v>
      </c>
    </row>
    <row r="5" spans="1:7" x14ac:dyDescent="0.3">
      <c r="A5">
        <v>599.29999999999995</v>
      </c>
      <c r="B5">
        <v>797.37</v>
      </c>
      <c r="C5">
        <f t="shared" si="0"/>
        <v>698.33500000000004</v>
      </c>
      <c r="D5">
        <v>15</v>
      </c>
      <c r="E5">
        <f t="shared" si="2"/>
        <v>267</v>
      </c>
      <c r="F5" s="1">
        <f t="shared" si="1"/>
        <v>5.1903114186851208E-2</v>
      </c>
      <c r="G5" s="1">
        <v>0.92387543252595161</v>
      </c>
    </row>
    <row r="6" spans="1:7" x14ac:dyDescent="0.3">
      <c r="A6">
        <v>797.37</v>
      </c>
      <c r="B6">
        <v>995.44</v>
      </c>
      <c r="C6">
        <f t="shared" si="0"/>
        <v>896.40499999999997</v>
      </c>
      <c r="D6">
        <v>4</v>
      </c>
      <c r="E6">
        <f t="shared" si="2"/>
        <v>271</v>
      </c>
      <c r="F6" s="1">
        <f t="shared" si="1"/>
        <v>1.384083044982699E-2</v>
      </c>
      <c r="G6" s="1">
        <v>0.93771626297577859</v>
      </c>
    </row>
    <row r="7" spans="1:7" x14ac:dyDescent="0.3">
      <c r="A7">
        <v>995.44</v>
      </c>
      <c r="B7">
        <v>1193.51</v>
      </c>
      <c r="C7">
        <f t="shared" si="0"/>
        <v>1094.4749999999999</v>
      </c>
      <c r="D7">
        <v>6</v>
      </c>
      <c r="E7">
        <f t="shared" si="2"/>
        <v>277</v>
      </c>
      <c r="F7" s="1">
        <f t="shared" si="1"/>
        <v>2.0761245674740483E-2</v>
      </c>
      <c r="G7" s="1">
        <v>0.95847750865051906</v>
      </c>
    </row>
    <row r="8" spans="1:7" x14ac:dyDescent="0.3">
      <c r="A8">
        <v>1193.51</v>
      </c>
      <c r="B8">
        <v>1391.58</v>
      </c>
      <c r="C8">
        <f t="shared" si="0"/>
        <v>1292.5450000000001</v>
      </c>
      <c r="D8">
        <v>4</v>
      </c>
      <c r="E8">
        <f t="shared" si="2"/>
        <v>281</v>
      </c>
      <c r="F8" s="1">
        <f t="shared" si="1"/>
        <v>1.384083044982699E-2</v>
      </c>
      <c r="G8" s="1">
        <v>0.97231833910034604</v>
      </c>
    </row>
    <row r="9" spans="1:7" x14ac:dyDescent="0.3">
      <c r="A9">
        <v>1391.58</v>
      </c>
      <c r="B9">
        <v>1589.66</v>
      </c>
      <c r="C9">
        <f t="shared" si="0"/>
        <v>1490.62</v>
      </c>
      <c r="D9">
        <v>1</v>
      </c>
      <c r="E9">
        <f t="shared" si="2"/>
        <v>282</v>
      </c>
      <c r="F9" s="1">
        <f t="shared" si="1"/>
        <v>3.4602076124567475E-3</v>
      </c>
      <c r="G9" s="1">
        <v>0.97577854671280273</v>
      </c>
    </row>
    <row r="10" spans="1:7" x14ac:dyDescent="0.3">
      <c r="A10">
        <v>1589.66</v>
      </c>
      <c r="B10">
        <v>1787.73</v>
      </c>
      <c r="C10">
        <f t="shared" si="0"/>
        <v>1688.6950000000002</v>
      </c>
      <c r="D10">
        <v>4</v>
      </c>
      <c r="E10">
        <f t="shared" si="2"/>
        <v>286</v>
      </c>
      <c r="F10" s="1">
        <f>D10/$E$11</f>
        <v>1.384083044982699E-2</v>
      </c>
      <c r="G10" s="1">
        <v>0.98961937716262971</v>
      </c>
    </row>
    <row r="11" spans="1:7" x14ac:dyDescent="0.3">
      <c r="A11">
        <v>1787.73</v>
      </c>
      <c r="B11">
        <v>1985.8</v>
      </c>
      <c r="C11">
        <f t="shared" si="0"/>
        <v>1886.7649999999999</v>
      </c>
      <c r="D11">
        <v>3</v>
      </c>
      <c r="E11">
        <f t="shared" si="2"/>
        <v>289</v>
      </c>
      <c r="F11" s="1">
        <f t="shared" si="1"/>
        <v>1.0380622837370242E-2</v>
      </c>
      <c r="G11" s="1">
        <v>1</v>
      </c>
    </row>
    <row r="12" spans="1:7" ht="15" thickBot="1" x14ac:dyDescent="0.35">
      <c r="C12" s="2" t="s">
        <v>10</v>
      </c>
      <c r="D12" s="2">
        <v>0</v>
      </c>
      <c r="E12" s="2"/>
      <c r="F12" s="2"/>
      <c r="G12" s="3">
        <v>1</v>
      </c>
    </row>
    <row r="14" spans="1:7" x14ac:dyDescent="0.3">
      <c r="F14" s="1"/>
    </row>
    <row r="29" spans="17:26" x14ac:dyDescent="0.3">
      <c r="Q29" s="7" t="s">
        <v>17</v>
      </c>
      <c r="R29" s="6"/>
      <c r="S29" s="6"/>
      <c r="T29" s="6"/>
      <c r="U29" s="6"/>
      <c r="V29" s="6"/>
      <c r="W29" s="6"/>
      <c r="X29" s="6"/>
      <c r="Y29" s="6"/>
      <c r="Z29" s="6"/>
    </row>
    <row r="30" spans="17:26" x14ac:dyDescent="0.3"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7:26" x14ac:dyDescent="0.3"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7:26" x14ac:dyDescent="0.3"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7:26" x14ac:dyDescent="0.3"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7:26" x14ac:dyDescent="0.3"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7:26" x14ac:dyDescent="0.3"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7:26" x14ac:dyDescent="0.3"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7:26" x14ac:dyDescent="0.3"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7:26" x14ac:dyDescent="0.3">
      <c r="Q38" s="6"/>
      <c r="R38" s="6"/>
      <c r="S38" s="6"/>
      <c r="T38" s="6"/>
      <c r="U38" s="6"/>
      <c r="V38" s="6"/>
      <c r="W38" s="6"/>
      <c r="X38" s="6"/>
      <c r="Y38" s="6"/>
      <c r="Z38" s="6"/>
    </row>
  </sheetData>
  <sortState xmlns:xlrd2="http://schemas.microsoft.com/office/spreadsheetml/2017/richdata2" ref="C2:C11">
    <sortCondition ref="C2"/>
  </sortState>
  <mergeCells count="2">
    <mergeCell ref="A1:B1"/>
    <mergeCell ref="Q29:Z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385F-B88C-4F0F-8CEF-257111AC30EF}">
  <dimension ref="A1:I291"/>
  <sheetViews>
    <sheetView workbookViewId="0">
      <selection activeCell="A93" sqref="A93"/>
    </sheetView>
  </sheetViews>
  <sheetFormatPr defaultRowHeight="14.4" x14ac:dyDescent="0.3"/>
  <sheetData>
    <row r="1" spans="1:9" x14ac:dyDescent="0.3">
      <c r="A1" t="s">
        <v>272</v>
      </c>
      <c r="D1" t="s">
        <v>1</v>
      </c>
      <c r="G1" t="s">
        <v>2</v>
      </c>
      <c r="H1" t="s">
        <v>3</v>
      </c>
      <c r="I1" t="s">
        <v>4</v>
      </c>
    </row>
    <row r="2" spans="1:9" x14ac:dyDescent="0.3">
      <c r="A2">
        <v>10800</v>
      </c>
      <c r="D2" t="s">
        <v>5</v>
      </c>
      <c r="E2">
        <f>COUNTA(A2:A291)</f>
        <v>290</v>
      </c>
      <c r="G2">
        <v>0</v>
      </c>
    </row>
    <row r="3" spans="1:9" x14ac:dyDescent="0.3">
      <c r="A3">
        <v>36090</v>
      </c>
      <c r="D3" t="s">
        <v>6</v>
      </c>
      <c r="E3">
        <f>MIN(A2:A291)</f>
        <v>25</v>
      </c>
      <c r="G3">
        <v>1</v>
      </c>
      <c r="H3">
        <f>E3</f>
        <v>25</v>
      </c>
      <c r="I3">
        <f>H3+E7</f>
        <v>6895.5</v>
      </c>
    </row>
    <row r="4" spans="1:9" x14ac:dyDescent="0.3">
      <c r="A4">
        <v>239</v>
      </c>
      <c r="D4" t="s">
        <v>7</v>
      </c>
      <c r="E4">
        <f>MAX(A2:A291)</f>
        <v>68730</v>
      </c>
      <c r="G4">
        <v>2</v>
      </c>
      <c r="H4">
        <f>I3</f>
        <v>6895.5</v>
      </c>
      <c r="I4">
        <f>H4+$E$7</f>
        <v>13766</v>
      </c>
    </row>
    <row r="5" spans="1:9" x14ac:dyDescent="0.3">
      <c r="A5">
        <v>10200</v>
      </c>
      <c r="D5" t="s">
        <v>8</v>
      </c>
      <c r="E5">
        <f>E4-E3</f>
        <v>68705</v>
      </c>
      <c r="G5">
        <v>3</v>
      </c>
      <c r="H5">
        <f>I4</f>
        <v>13766</v>
      </c>
      <c r="I5">
        <f>H5+$E$7</f>
        <v>20636.5</v>
      </c>
    </row>
    <row r="6" spans="1:9" x14ac:dyDescent="0.3">
      <c r="A6">
        <v>9900</v>
      </c>
      <c r="D6" t="s">
        <v>2</v>
      </c>
      <c r="E6">
        <f>ROUNDUP(1+3.322*LOG(E2),0)</f>
        <v>10</v>
      </c>
      <c r="G6">
        <v>4</v>
      </c>
      <c r="H6">
        <f>I5</f>
        <v>20636.5</v>
      </c>
      <c r="I6">
        <f>H6+$E$7</f>
        <v>27507</v>
      </c>
    </row>
    <row r="7" spans="1:9" x14ac:dyDescent="0.3">
      <c r="A7">
        <v>41430</v>
      </c>
      <c r="D7" t="s">
        <v>9</v>
      </c>
      <c r="E7">
        <f>E5/E6</f>
        <v>6870.5</v>
      </c>
      <c r="G7">
        <v>5</v>
      </c>
      <c r="H7">
        <f>I6</f>
        <v>27507</v>
      </c>
      <c r="I7">
        <f t="shared" ref="I5:I12" si="0">H7+$E$7</f>
        <v>34377.5</v>
      </c>
    </row>
    <row r="8" spans="1:9" x14ac:dyDescent="0.3">
      <c r="A8">
        <v>12270</v>
      </c>
      <c r="G8">
        <v>6</v>
      </c>
      <c r="H8">
        <f t="shared" ref="H5:H12" si="1">I7</f>
        <v>34377.5</v>
      </c>
      <c r="I8">
        <f>H8+$E$7</f>
        <v>41248</v>
      </c>
    </row>
    <row r="9" spans="1:9" x14ac:dyDescent="0.3">
      <c r="A9">
        <v>10410</v>
      </c>
      <c r="G9">
        <v>7</v>
      </c>
      <c r="H9">
        <f>I8</f>
        <v>41248</v>
      </c>
      <c r="I9">
        <f>H9+$E$7</f>
        <v>48118.5</v>
      </c>
    </row>
    <row r="10" spans="1:9" x14ac:dyDescent="0.3">
      <c r="A10">
        <v>4740</v>
      </c>
      <c r="G10">
        <v>8</v>
      </c>
      <c r="H10">
        <f>I9</f>
        <v>48118.5</v>
      </c>
      <c r="I10">
        <f t="shared" si="0"/>
        <v>54989</v>
      </c>
    </row>
    <row r="11" spans="1:9" x14ac:dyDescent="0.3">
      <c r="A11">
        <v>10230</v>
      </c>
      <c r="G11">
        <v>9</v>
      </c>
      <c r="H11">
        <f>I10</f>
        <v>54989</v>
      </c>
      <c r="I11">
        <f t="shared" si="0"/>
        <v>61859.5</v>
      </c>
    </row>
    <row r="12" spans="1:9" x14ac:dyDescent="0.3">
      <c r="A12">
        <v>37560</v>
      </c>
      <c r="G12">
        <v>10</v>
      </c>
      <c r="H12">
        <f>I11</f>
        <v>61859.5</v>
      </c>
      <c r="I12">
        <f t="shared" si="0"/>
        <v>68730</v>
      </c>
    </row>
    <row r="13" spans="1:9" x14ac:dyDescent="0.3">
      <c r="A13">
        <v>27150</v>
      </c>
    </row>
    <row r="14" spans="1:9" x14ac:dyDescent="0.3">
      <c r="A14">
        <v>6690</v>
      </c>
    </row>
    <row r="15" spans="1:9" x14ac:dyDescent="0.3">
      <c r="A15">
        <v>142</v>
      </c>
    </row>
    <row r="16" spans="1:9" x14ac:dyDescent="0.3">
      <c r="A16">
        <v>140</v>
      </c>
    </row>
    <row r="17" spans="1:1" x14ac:dyDescent="0.3">
      <c r="A17">
        <v>125</v>
      </c>
    </row>
    <row r="18" spans="1:1" x14ac:dyDescent="0.3">
      <c r="A18">
        <v>4350</v>
      </c>
    </row>
    <row r="19" spans="1:1" x14ac:dyDescent="0.3">
      <c r="A19">
        <v>31140</v>
      </c>
    </row>
    <row r="20" spans="1:1" x14ac:dyDescent="0.3">
      <c r="A20">
        <v>9150</v>
      </c>
    </row>
    <row r="21" spans="1:1" x14ac:dyDescent="0.3">
      <c r="A21">
        <v>53580</v>
      </c>
    </row>
    <row r="22" spans="1:1" x14ac:dyDescent="0.3">
      <c r="A22">
        <v>36180</v>
      </c>
    </row>
    <row r="23" spans="1:1" x14ac:dyDescent="0.3">
      <c r="A23">
        <v>9120</v>
      </c>
    </row>
    <row r="24" spans="1:1" x14ac:dyDescent="0.3">
      <c r="A24">
        <v>28050</v>
      </c>
    </row>
    <row r="25" spans="1:1" x14ac:dyDescent="0.3">
      <c r="A25">
        <v>12630</v>
      </c>
    </row>
    <row r="26" spans="1:1" x14ac:dyDescent="0.3">
      <c r="A26">
        <v>2220</v>
      </c>
    </row>
    <row r="27" spans="1:1" x14ac:dyDescent="0.3">
      <c r="A27">
        <v>80</v>
      </c>
    </row>
    <row r="28" spans="1:1" x14ac:dyDescent="0.3">
      <c r="A28">
        <v>49650</v>
      </c>
    </row>
    <row r="29" spans="1:1" x14ac:dyDescent="0.3">
      <c r="A29">
        <v>390</v>
      </c>
    </row>
    <row r="30" spans="1:1" x14ac:dyDescent="0.3">
      <c r="A30">
        <v>8040</v>
      </c>
    </row>
    <row r="31" spans="1:1" x14ac:dyDescent="0.3">
      <c r="A31">
        <v>31260</v>
      </c>
    </row>
    <row r="32" spans="1:1" x14ac:dyDescent="0.3">
      <c r="A32">
        <v>29670</v>
      </c>
    </row>
    <row r="33" spans="1:1" x14ac:dyDescent="0.3">
      <c r="A33">
        <v>17970</v>
      </c>
    </row>
    <row r="34" spans="1:1" x14ac:dyDescent="0.3">
      <c r="A34">
        <v>4650</v>
      </c>
    </row>
    <row r="35" spans="1:1" x14ac:dyDescent="0.3">
      <c r="A35">
        <v>28080</v>
      </c>
    </row>
    <row r="36" spans="1:1" x14ac:dyDescent="0.3">
      <c r="A36">
        <v>12000</v>
      </c>
    </row>
    <row r="37" spans="1:1" x14ac:dyDescent="0.3">
      <c r="A37">
        <v>64800</v>
      </c>
    </row>
    <row r="38" spans="1:1" x14ac:dyDescent="0.3">
      <c r="A38">
        <v>27840</v>
      </c>
    </row>
    <row r="39" spans="1:1" x14ac:dyDescent="0.3">
      <c r="A39">
        <v>112</v>
      </c>
    </row>
    <row r="40" spans="1:1" x14ac:dyDescent="0.3">
      <c r="A40">
        <v>48030</v>
      </c>
    </row>
    <row r="41" spans="1:1" x14ac:dyDescent="0.3">
      <c r="A41">
        <v>63000</v>
      </c>
    </row>
    <row r="42" spans="1:1" x14ac:dyDescent="0.3">
      <c r="A42">
        <v>118</v>
      </c>
    </row>
    <row r="43" spans="1:1" x14ac:dyDescent="0.3">
      <c r="A43">
        <v>161</v>
      </c>
    </row>
    <row r="44" spans="1:1" x14ac:dyDescent="0.3">
      <c r="A44">
        <v>7560</v>
      </c>
    </row>
    <row r="45" spans="1:1" x14ac:dyDescent="0.3">
      <c r="A45">
        <v>21240</v>
      </c>
    </row>
    <row r="46" spans="1:1" x14ac:dyDescent="0.3">
      <c r="A46">
        <v>18600</v>
      </c>
    </row>
    <row r="47" spans="1:1" x14ac:dyDescent="0.3">
      <c r="A47">
        <v>26850</v>
      </c>
    </row>
    <row r="48" spans="1:1" x14ac:dyDescent="0.3">
      <c r="A48">
        <v>17490</v>
      </c>
    </row>
    <row r="49" spans="1:1" x14ac:dyDescent="0.3">
      <c r="A49">
        <v>21330</v>
      </c>
    </row>
    <row r="50" spans="1:1" x14ac:dyDescent="0.3">
      <c r="A50">
        <v>5700</v>
      </c>
    </row>
    <row r="51" spans="1:1" x14ac:dyDescent="0.3">
      <c r="A51">
        <v>11310</v>
      </c>
    </row>
    <row r="52" spans="1:1" x14ac:dyDescent="0.3">
      <c r="A52">
        <v>18540</v>
      </c>
    </row>
    <row r="53" spans="1:1" x14ac:dyDescent="0.3">
      <c r="A53">
        <v>21660</v>
      </c>
    </row>
    <row r="54" spans="1:1" x14ac:dyDescent="0.3">
      <c r="A54">
        <v>54840</v>
      </c>
    </row>
    <row r="55" spans="1:1" x14ac:dyDescent="0.3">
      <c r="A55">
        <v>95</v>
      </c>
    </row>
    <row r="56" spans="1:1" x14ac:dyDescent="0.3">
      <c r="A56">
        <v>18060</v>
      </c>
    </row>
    <row r="57" spans="1:1" x14ac:dyDescent="0.3">
      <c r="A57">
        <v>21510</v>
      </c>
    </row>
    <row r="58" spans="1:1" x14ac:dyDescent="0.3">
      <c r="A58">
        <v>29010</v>
      </c>
    </row>
    <row r="59" spans="1:1" x14ac:dyDescent="0.3">
      <c r="A59">
        <v>18390</v>
      </c>
    </row>
    <row r="60" spans="1:1" x14ac:dyDescent="0.3">
      <c r="A60">
        <v>3660</v>
      </c>
    </row>
    <row r="61" spans="1:1" x14ac:dyDescent="0.3">
      <c r="A61">
        <v>24840</v>
      </c>
    </row>
    <row r="62" spans="1:1" x14ac:dyDescent="0.3">
      <c r="A62">
        <v>37710</v>
      </c>
    </row>
    <row r="63" spans="1:1" x14ac:dyDescent="0.3">
      <c r="A63">
        <v>54840</v>
      </c>
    </row>
    <row r="64" spans="1:1" x14ac:dyDescent="0.3">
      <c r="A64">
        <v>10050</v>
      </c>
    </row>
    <row r="65" spans="1:1" x14ac:dyDescent="0.3">
      <c r="A65">
        <v>48720</v>
      </c>
    </row>
    <row r="66" spans="1:1" x14ac:dyDescent="0.3">
      <c r="A66">
        <v>21120</v>
      </c>
    </row>
    <row r="67" spans="1:1" x14ac:dyDescent="0.3">
      <c r="A67">
        <v>61080</v>
      </c>
    </row>
    <row r="68" spans="1:1" x14ac:dyDescent="0.3">
      <c r="A68">
        <v>2040</v>
      </c>
    </row>
    <row r="69" spans="1:1" x14ac:dyDescent="0.3">
      <c r="A69">
        <v>18030</v>
      </c>
    </row>
    <row r="70" spans="1:1" x14ac:dyDescent="0.3">
      <c r="A70">
        <v>7290</v>
      </c>
    </row>
    <row r="71" spans="1:1" x14ac:dyDescent="0.3">
      <c r="A71">
        <v>7110</v>
      </c>
    </row>
    <row r="72" spans="1:1" x14ac:dyDescent="0.3">
      <c r="A72">
        <v>50550</v>
      </c>
    </row>
    <row r="73" spans="1:1" x14ac:dyDescent="0.3">
      <c r="A73">
        <v>21090</v>
      </c>
    </row>
    <row r="74" spans="1:1" x14ac:dyDescent="0.3">
      <c r="A74">
        <v>33690</v>
      </c>
    </row>
    <row r="75" spans="1:1" x14ac:dyDescent="0.3">
      <c r="A75">
        <v>1950</v>
      </c>
    </row>
    <row r="76" spans="1:1" x14ac:dyDescent="0.3">
      <c r="A76">
        <v>56970</v>
      </c>
    </row>
    <row r="77" spans="1:1" x14ac:dyDescent="0.3">
      <c r="A77">
        <v>21540</v>
      </c>
    </row>
    <row r="78" spans="1:1" x14ac:dyDescent="0.3">
      <c r="A78">
        <v>24570</v>
      </c>
    </row>
    <row r="79" spans="1:1" x14ac:dyDescent="0.3">
      <c r="A79">
        <v>36330</v>
      </c>
    </row>
    <row r="80" spans="1:1" x14ac:dyDescent="0.3">
      <c r="A80">
        <v>5430</v>
      </c>
    </row>
    <row r="81" spans="1:1" x14ac:dyDescent="0.3">
      <c r="A81">
        <v>138</v>
      </c>
    </row>
    <row r="82" spans="1:1" x14ac:dyDescent="0.3">
      <c r="A82">
        <v>6630</v>
      </c>
    </row>
    <row r="83" spans="1:1" x14ac:dyDescent="0.3">
      <c r="A83">
        <v>6630</v>
      </c>
    </row>
    <row r="84" spans="1:1" x14ac:dyDescent="0.3">
      <c r="A84">
        <v>3210</v>
      </c>
    </row>
    <row r="85" spans="1:1" x14ac:dyDescent="0.3">
      <c r="A85">
        <v>660</v>
      </c>
    </row>
    <row r="86" spans="1:1" x14ac:dyDescent="0.3">
      <c r="A86">
        <v>118</v>
      </c>
    </row>
    <row r="87" spans="1:1" x14ac:dyDescent="0.3">
      <c r="A87">
        <v>4980</v>
      </c>
    </row>
    <row r="88" spans="1:1" x14ac:dyDescent="0.3">
      <c r="A88">
        <v>24780</v>
      </c>
    </row>
    <row r="89" spans="1:1" x14ac:dyDescent="0.3">
      <c r="A89">
        <v>32910</v>
      </c>
    </row>
    <row r="90" spans="1:1" x14ac:dyDescent="0.3">
      <c r="A90">
        <v>30090</v>
      </c>
    </row>
    <row r="91" spans="1:1" x14ac:dyDescent="0.3">
      <c r="A91">
        <v>21570</v>
      </c>
    </row>
    <row r="92" spans="1:1" x14ac:dyDescent="0.3">
      <c r="A92">
        <v>7680</v>
      </c>
    </row>
    <row r="93" spans="1:1" x14ac:dyDescent="0.3">
      <c r="A93">
        <v>68730</v>
      </c>
    </row>
    <row r="94" spans="1:1" x14ac:dyDescent="0.3">
      <c r="A94">
        <v>9690</v>
      </c>
    </row>
    <row r="95" spans="1:1" x14ac:dyDescent="0.3">
      <c r="A95">
        <v>225</v>
      </c>
    </row>
    <row r="96" spans="1:1" x14ac:dyDescent="0.3">
      <c r="A96">
        <v>18390</v>
      </c>
    </row>
    <row r="97" spans="1:1" x14ac:dyDescent="0.3">
      <c r="A97">
        <v>124</v>
      </c>
    </row>
    <row r="98" spans="1:1" x14ac:dyDescent="0.3">
      <c r="A98">
        <v>34470</v>
      </c>
    </row>
    <row r="99" spans="1:1" x14ac:dyDescent="0.3">
      <c r="A99">
        <v>6240</v>
      </c>
    </row>
    <row r="100" spans="1:1" x14ac:dyDescent="0.3">
      <c r="A100">
        <v>8760</v>
      </c>
    </row>
    <row r="101" spans="1:1" x14ac:dyDescent="0.3">
      <c r="A101">
        <v>174</v>
      </c>
    </row>
    <row r="102" spans="1:1" x14ac:dyDescent="0.3">
      <c r="A102">
        <v>26610</v>
      </c>
    </row>
    <row r="103" spans="1:1" x14ac:dyDescent="0.3">
      <c r="A103">
        <v>64830</v>
      </c>
    </row>
    <row r="104" spans="1:1" x14ac:dyDescent="0.3">
      <c r="A104">
        <v>33480</v>
      </c>
    </row>
    <row r="105" spans="1:1" x14ac:dyDescent="0.3">
      <c r="A105">
        <v>58680</v>
      </c>
    </row>
    <row r="106" spans="1:1" x14ac:dyDescent="0.3">
      <c r="A106">
        <v>25</v>
      </c>
    </row>
    <row r="107" spans="1:1" x14ac:dyDescent="0.3">
      <c r="A107">
        <v>39090</v>
      </c>
    </row>
    <row r="108" spans="1:1" x14ac:dyDescent="0.3">
      <c r="A108">
        <v>2160</v>
      </c>
    </row>
    <row r="109" spans="1:1" x14ac:dyDescent="0.3">
      <c r="A109">
        <v>33210</v>
      </c>
    </row>
    <row r="110" spans="1:1" x14ac:dyDescent="0.3">
      <c r="A110">
        <v>27870</v>
      </c>
    </row>
    <row r="111" spans="1:1" x14ac:dyDescent="0.3">
      <c r="A111">
        <v>51930</v>
      </c>
    </row>
    <row r="112" spans="1:1" x14ac:dyDescent="0.3">
      <c r="A112">
        <v>132</v>
      </c>
    </row>
    <row r="113" spans="1:1" x14ac:dyDescent="0.3">
      <c r="A113">
        <v>29610</v>
      </c>
    </row>
    <row r="114" spans="1:1" x14ac:dyDescent="0.3">
      <c r="A114">
        <v>52470</v>
      </c>
    </row>
    <row r="115" spans="1:1" x14ac:dyDescent="0.3">
      <c r="A115">
        <v>18300</v>
      </c>
    </row>
    <row r="116" spans="1:1" x14ac:dyDescent="0.3">
      <c r="A116">
        <v>154</v>
      </c>
    </row>
    <row r="117" spans="1:1" x14ac:dyDescent="0.3">
      <c r="A117">
        <v>5640</v>
      </c>
    </row>
    <row r="118" spans="1:1" x14ac:dyDescent="0.3">
      <c r="A118">
        <v>21870</v>
      </c>
    </row>
    <row r="119" spans="1:1" x14ac:dyDescent="0.3">
      <c r="A119">
        <v>13260</v>
      </c>
    </row>
    <row r="120" spans="1:1" x14ac:dyDescent="0.3">
      <c r="A120">
        <v>37380</v>
      </c>
    </row>
    <row r="121" spans="1:1" x14ac:dyDescent="0.3">
      <c r="A121">
        <v>27540</v>
      </c>
    </row>
    <row r="122" spans="1:1" x14ac:dyDescent="0.3">
      <c r="A122">
        <v>7590</v>
      </c>
    </row>
    <row r="123" spans="1:1" x14ac:dyDescent="0.3">
      <c r="A123">
        <v>49500</v>
      </c>
    </row>
    <row r="124" spans="1:1" x14ac:dyDescent="0.3">
      <c r="A124">
        <v>38640</v>
      </c>
    </row>
    <row r="125" spans="1:1" x14ac:dyDescent="0.3">
      <c r="A125">
        <v>13380</v>
      </c>
    </row>
    <row r="126" spans="1:1" x14ac:dyDescent="0.3">
      <c r="A126">
        <v>33990</v>
      </c>
    </row>
    <row r="127" spans="1:1" x14ac:dyDescent="0.3">
      <c r="A127">
        <v>32250</v>
      </c>
    </row>
    <row r="128" spans="1:1" x14ac:dyDescent="0.3">
      <c r="A128">
        <v>32190</v>
      </c>
    </row>
    <row r="129" spans="1:1" x14ac:dyDescent="0.3">
      <c r="A129">
        <v>8520</v>
      </c>
    </row>
    <row r="130" spans="1:1" x14ac:dyDescent="0.3">
      <c r="A130">
        <v>7110</v>
      </c>
    </row>
    <row r="131" spans="1:1" x14ac:dyDescent="0.3">
      <c r="A131">
        <v>146</v>
      </c>
    </row>
    <row r="132" spans="1:1" x14ac:dyDescent="0.3">
      <c r="A132">
        <v>62010</v>
      </c>
    </row>
    <row r="133" spans="1:1" x14ac:dyDescent="0.3">
      <c r="A133">
        <v>10470</v>
      </c>
    </row>
    <row r="134" spans="1:1" x14ac:dyDescent="0.3">
      <c r="A134">
        <v>36420</v>
      </c>
    </row>
    <row r="135" spans="1:1" x14ac:dyDescent="0.3">
      <c r="A135">
        <v>9480</v>
      </c>
    </row>
    <row r="136" spans="1:1" x14ac:dyDescent="0.3">
      <c r="A136">
        <v>57330</v>
      </c>
    </row>
    <row r="137" spans="1:1" x14ac:dyDescent="0.3">
      <c r="A137">
        <v>14310</v>
      </c>
    </row>
    <row r="138" spans="1:1" x14ac:dyDescent="0.3">
      <c r="A138">
        <v>3870</v>
      </c>
    </row>
    <row r="139" spans="1:1" x14ac:dyDescent="0.3">
      <c r="A139">
        <v>11640</v>
      </c>
    </row>
    <row r="140" spans="1:1" x14ac:dyDescent="0.3">
      <c r="A140">
        <v>12300</v>
      </c>
    </row>
    <row r="141" spans="1:1" x14ac:dyDescent="0.3">
      <c r="A141">
        <v>186</v>
      </c>
    </row>
    <row r="142" spans="1:1" x14ac:dyDescent="0.3">
      <c r="A142">
        <v>34410</v>
      </c>
    </row>
    <row r="143" spans="1:1" x14ac:dyDescent="0.3">
      <c r="A143">
        <v>55380</v>
      </c>
    </row>
    <row r="144" spans="1:1" x14ac:dyDescent="0.3">
      <c r="A144">
        <v>4890</v>
      </c>
    </row>
    <row r="145" spans="1:1" x14ac:dyDescent="0.3">
      <c r="A145">
        <v>5580</v>
      </c>
    </row>
    <row r="146" spans="1:1" x14ac:dyDescent="0.3">
      <c r="A146">
        <v>31440</v>
      </c>
    </row>
    <row r="147" spans="1:1" x14ac:dyDescent="0.3">
      <c r="A147">
        <v>5670</v>
      </c>
    </row>
    <row r="148" spans="1:1" x14ac:dyDescent="0.3">
      <c r="A148">
        <v>36480</v>
      </c>
    </row>
    <row r="149" spans="1:1" x14ac:dyDescent="0.3">
      <c r="A149">
        <v>61530</v>
      </c>
    </row>
    <row r="150" spans="1:1" x14ac:dyDescent="0.3">
      <c r="A150">
        <v>34410</v>
      </c>
    </row>
    <row r="151" spans="1:1" x14ac:dyDescent="0.3">
      <c r="A151">
        <v>5099</v>
      </c>
    </row>
    <row r="152" spans="1:1" x14ac:dyDescent="0.3">
      <c r="A152">
        <v>133</v>
      </c>
    </row>
    <row r="153" spans="1:1" x14ac:dyDescent="0.3">
      <c r="A153">
        <v>4680</v>
      </c>
    </row>
    <row r="154" spans="1:1" x14ac:dyDescent="0.3">
      <c r="A154">
        <v>30930</v>
      </c>
    </row>
    <row r="155" spans="1:1" x14ac:dyDescent="0.3">
      <c r="A155">
        <v>7950</v>
      </c>
    </row>
    <row r="156" spans="1:1" x14ac:dyDescent="0.3">
      <c r="A156">
        <v>12060</v>
      </c>
    </row>
    <row r="157" spans="1:1" x14ac:dyDescent="0.3">
      <c r="A157">
        <v>10260</v>
      </c>
    </row>
    <row r="158" spans="1:1" x14ac:dyDescent="0.3">
      <c r="A158">
        <v>9360</v>
      </c>
    </row>
    <row r="159" spans="1:1" x14ac:dyDescent="0.3">
      <c r="A159">
        <v>24210</v>
      </c>
    </row>
    <row r="160" spans="1:1" x14ac:dyDescent="0.3">
      <c r="A160">
        <v>21240</v>
      </c>
    </row>
    <row r="161" spans="1:1" x14ac:dyDescent="0.3">
      <c r="A161">
        <v>4440</v>
      </c>
    </row>
    <row r="162" spans="1:1" x14ac:dyDescent="0.3">
      <c r="A162">
        <v>61440</v>
      </c>
    </row>
    <row r="163" spans="1:1" x14ac:dyDescent="0.3">
      <c r="A163">
        <v>26130</v>
      </c>
    </row>
    <row r="164" spans="1:1" x14ac:dyDescent="0.3">
      <c r="A164">
        <v>9600</v>
      </c>
    </row>
    <row r="165" spans="1:1" x14ac:dyDescent="0.3">
      <c r="A165">
        <v>28410</v>
      </c>
    </row>
    <row r="166" spans="1:1" x14ac:dyDescent="0.3">
      <c r="A166">
        <v>25380</v>
      </c>
    </row>
    <row r="167" spans="1:1" x14ac:dyDescent="0.3">
      <c r="A167">
        <v>139</v>
      </c>
    </row>
    <row r="168" spans="1:1" x14ac:dyDescent="0.3">
      <c r="A168">
        <v>22800</v>
      </c>
    </row>
    <row r="169" spans="1:1" x14ac:dyDescent="0.3">
      <c r="A169">
        <v>27090</v>
      </c>
    </row>
    <row r="170" spans="1:1" x14ac:dyDescent="0.3">
      <c r="A170">
        <v>13740</v>
      </c>
    </row>
    <row r="171" spans="1:1" x14ac:dyDescent="0.3">
      <c r="A171">
        <v>61500</v>
      </c>
    </row>
    <row r="172" spans="1:1" x14ac:dyDescent="0.3">
      <c r="A172">
        <v>57420</v>
      </c>
    </row>
    <row r="173" spans="1:1" x14ac:dyDescent="0.3">
      <c r="A173">
        <v>10140</v>
      </c>
    </row>
    <row r="174" spans="1:1" x14ac:dyDescent="0.3">
      <c r="A174">
        <v>14760</v>
      </c>
    </row>
    <row r="175" spans="1:1" x14ac:dyDescent="0.3">
      <c r="A175">
        <v>53670</v>
      </c>
    </row>
    <row r="176" spans="1:1" x14ac:dyDescent="0.3">
      <c r="A176">
        <v>11340</v>
      </c>
    </row>
    <row r="177" spans="1:1" x14ac:dyDescent="0.3">
      <c r="A177">
        <v>17490</v>
      </c>
    </row>
    <row r="178" spans="1:1" x14ac:dyDescent="0.3">
      <c r="A178">
        <v>27870</v>
      </c>
    </row>
    <row r="179" spans="1:1" x14ac:dyDescent="0.3">
      <c r="A179">
        <v>13290</v>
      </c>
    </row>
    <row r="180" spans="1:1" x14ac:dyDescent="0.3">
      <c r="A180">
        <v>24600</v>
      </c>
    </row>
    <row r="181" spans="1:1" x14ac:dyDescent="0.3">
      <c r="A181">
        <v>24060</v>
      </c>
    </row>
    <row r="182" spans="1:1" x14ac:dyDescent="0.3">
      <c r="A182">
        <v>4020</v>
      </c>
    </row>
    <row r="183" spans="1:1" x14ac:dyDescent="0.3">
      <c r="A183">
        <v>125</v>
      </c>
    </row>
    <row r="184" spans="1:1" x14ac:dyDescent="0.3">
      <c r="A184">
        <v>2194</v>
      </c>
    </row>
    <row r="185" spans="1:1" x14ac:dyDescent="0.3">
      <c r="A185">
        <v>6960</v>
      </c>
    </row>
    <row r="186" spans="1:1" x14ac:dyDescent="0.3">
      <c r="A186">
        <v>31440</v>
      </c>
    </row>
    <row r="187" spans="1:1" x14ac:dyDescent="0.3">
      <c r="A187">
        <v>10740</v>
      </c>
    </row>
    <row r="188" spans="1:1" x14ac:dyDescent="0.3">
      <c r="A188">
        <v>164</v>
      </c>
    </row>
    <row r="189" spans="1:1" x14ac:dyDescent="0.3">
      <c r="A189">
        <v>6930</v>
      </c>
    </row>
    <row r="190" spans="1:1" x14ac:dyDescent="0.3">
      <c r="A190">
        <v>5250</v>
      </c>
    </row>
    <row r="191" spans="1:1" x14ac:dyDescent="0.3">
      <c r="A191">
        <v>8760</v>
      </c>
    </row>
    <row r="192" spans="1:1" x14ac:dyDescent="0.3">
      <c r="A192">
        <v>37110</v>
      </c>
    </row>
    <row r="193" spans="1:1" x14ac:dyDescent="0.3">
      <c r="A193">
        <v>10650</v>
      </c>
    </row>
    <row r="194" spans="1:1" x14ac:dyDescent="0.3">
      <c r="A194">
        <v>31230</v>
      </c>
    </row>
    <row r="195" spans="1:1" x14ac:dyDescent="0.3">
      <c r="A195">
        <v>3720</v>
      </c>
    </row>
    <row r="196" spans="1:1" x14ac:dyDescent="0.3">
      <c r="A196">
        <v>10950</v>
      </c>
    </row>
    <row r="197" spans="1:1" x14ac:dyDescent="0.3">
      <c r="A197">
        <v>104</v>
      </c>
    </row>
    <row r="198" spans="1:1" x14ac:dyDescent="0.3">
      <c r="A198">
        <v>14550</v>
      </c>
    </row>
    <row r="199" spans="1:1" x14ac:dyDescent="0.3">
      <c r="A199">
        <v>4740</v>
      </c>
    </row>
    <row r="200" spans="1:1" x14ac:dyDescent="0.3">
      <c r="A200">
        <v>15360</v>
      </c>
    </row>
    <row r="201" spans="1:1" x14ac:dyDescent="0.3">
      <c r="A201">
        <v>31800</v>
      </c>
    </row>
    <row r="202" spans="1:1" x14ac:dyDescent="0.3">
      <c r="A202">
        <v>10350</v>
      </c>
    </row>
    <row r="203" spans="1:1" x14ac:dyDescent="0.3">
      <c r="A203">
        <v>900</v>
      </c>
    </row>
    <row r="204" spans="1:1" x14ac:dyDescent="0.3">
      <c r="A204">
        <v>38220</v>
      </c>
    </row>
    <row r="205" spans="1:1" x14ac:dyDescent="0.3">
      <c r="A205">
        <v>4650</v>
      </c>
    </row>
    <row r="206" spans="1:1" x14ac:dyDescent="0.3">
      <c r="A206">
        <v>4080</v>
      </c>
    </row>
    <row r="207" spans="1:1" x14ac:dyDescent="0.3">
      <c r="A207">
        <v>109</v>
      </c>
    </row>
    <row r="208" spans="1:1" x14ac:dyDescent="0.3">
      <c r="A208">
        <v>60750</v>
      </c>
    </row>
    <row r="209" spans="1:1" x14ac:dyDescent="0.3">
      <c r="A209">
        <v>31230</v>
      </c>
    </row>
    <row r="210" spans="1:1" x14ac:dyDescent="0.3">
      <c r="A210">
        <v>8880</v>
      </c>
    </row>
    <row r="211" spans="1:1" x14ac:dyDescent="0.3">
      <c r="A211">
        <v>3600</v>
      </c>
    </row>
    <row r="212" spans="1:1" x14ac:dyDescent="0.3">
      <c r="A212">
        <v>9750</v>
      </c>
    </row>
    <row r="213" spans="1:1" x14ac:dyDescent="0.3">
      <c r="A213">
        <v>10860</v>
      </c>
    </row>
    <row r="214" spans="1:1" x14ac:dyDescent="0.3">
      <c r="A214">
        <v>58320</v>
      </c>
    </row>
    <row r="215" spans="1:1" x14ac:dyDescent="0.3">
      <c r="A215">
        <v>12060</v>
      </c>
    </row>
    <row r="216" spans="1:1" x14ac:dyDescent="0.3">
      <c r="A216">
        <v>73</v>
      </c>
    </row>
    <row r="217" spans="1:1" x14ac:dyDescent="0.3">
      <c r="A217">
        <v>27570</v>
      </c>
    </row>
    <row r="218" spans="1:1" x14ac:dyDescent="0.3">
      <c r="A218">
        <v>11730</v>
      </c>
    </row>
    <row r="219" spans="1:1" x14ac:dyDescent="0.3">
      <c r="A219">
        <v>36630</v>
      </c>
    </row>
    <row r="220" spans="1:1" x14ac:dyDescent="0.3">
      <c r="A220">
        <v>123</v>
      </c>
    </row>
    <row r="221" spans="1:1" x14ac:dyDescent="0.3">
      <c r="A221">
        <v>98</v>
      </c>
    </row>
    <row r="222" spans="1:1" x14ac:dyDescent="0.3">
      <c r="A222">
        <v>51960</v>
      </c>
    </row>
    <row r="223" spans="1:1" x14ac:dyDescent="0.3">
      <c r="A223">
        <v>1380</v>
      </c>
    </row>
    <row r="224" spans="1:1" x14ac:dyDescent="0.3">
      <c r="A224">
        <v>5730</v>
      </c>
    </row>
    <row r="225" spans="1:1" x14ac:dyDescent="0.3">
      <c r="A225">
        <v>57630</v>
      </c>
    </row>
    <row r="226" spans="1:1" x14ac:dyDescent="0.3">
      <c r="A226">
        <v>49440</v>
      </c>
    </row>
    <row r="227" spans="1:1" x14ac:dyDescent="0.3">
      <c r="A227">
        <v>52050</v>
      </c>
    </row>
    <row r="228" spans="1:1" x14ac:dyDescent="0.3">
      <c r="A228">
        <v>54930</v>
      </c>
    </row>
    <row r="229" spans="1:1" x14ac:dyDescent="0.3">
      <c r="A229">
        <v>10860</v>
      </c>
    </row>
    <row r="230" spans="1:1" x14ac:dyDescent="0.3">
      <c r="A230">
        <v>16350</v>
      </c>
    </row>
    <row r="231" spans="1:1" x14ac:dyDescent="0.3">
      <c r="A231">
        <v>6870</v>
      </c>
    </row>
    <row r="232" spans="1:1" x14ac:dyDescent="0.3">
      <c r="A232">
        <v>54630</v>
      </c>
    </row>
    <row r="233" spans="1:1" x14ac:dyDescent="0.3">
      <c r="A233">
        <v>110</v>
      </c>
    </row>
    <row r="234" spans="1:1" x14ac:dyDescent="0.3">
      <c r="A234">
        <v>97</v>
      </c>
    </row>
    <row r="235" spans="1:1" x14ac:dyDescent="0.3">
      <c r="A235">
        <v>61500</v>
      </c>
    </row>
    <row r="236" spans="1:1" x14ac:dyDescent="0.3">
      <c r="A236">
        <v>9300</v>
      </c>
    </row>
    <row r="237" spans="1:1" x14ac:dyDescent="0.3">
      <c r="A237">
        <v>14880</v>
      </c>
    </row>
    <row r="238" spans="1:1" x14ac:dyDescent="0.3">
      <c r="A238">
        <v>4470</v>
      </c>
    </row>
    <row r="239" spans="1:1" x14ac:dyDescent="0.3">
      <c r="A239">
        <v>7380</v>
      </c>
    </row>
    <row r="240" spans="1:1" x14ac:dyDescent="0.3">
      <c r="A240">
        <v>39300</v>
      </c>
    </row>
    <row r="241" spans="1:1" x14ac:dyDescent="0.3">
      <c r="A241">
        <v>25980</v>
      </c>
    </row>
    <row r="242" spans="1:1" x14ac:dyDescent="0.3">
      <c r="A242">
        <v>56</v>
      </c>
    </row>
    <row r="243" spans="1:1" x14ac:dyDescent="0.3">
      <c r="A243">
        <v>37260</v>
      </c>
    </row>
    <row r="244" spans="1:1" x14ac:dyDescent="0.3">
      <c r="A244">
        <v>3510</v>
      </c>
    </row>
    <row r="245" spans="1:1" x14ac:dyDescent="0.3">
      <c r="A245">
        <v>34650</v>
      </c>
    </row>
    <row r="246" spans="1:1" x14ac:dyDescent="0.3">
      <c r="A246">
        <v>27420</v>
      </c>
    </row>
    <row r="247" spans="1:1" x14ac:dyDescent="0.3">
      <c r="A247">
        <v>48300</v>
      </c>
    </row>
    <row r="248" spans="1:1" x14ac:dyDescent="0.3">
      <c r="A248">
        <v>18510</v>
      </c>
    </row>
    <row r="249" spans="1:1" x14ac:dyDescent="0.3">
      <c r="A249">
        <v>61920</v>
      </c>
    </row>
    <row r="250" spans="1:1" x14ac:dyDescent="0.3">
      <c r="A250">
        <v>19260</v>
      </c>
    </row>
    <row r="251" spans="1:1" x14ac:dyDescent="0.3">
      <c r="A251">
        <v>29940</v>
      </c>
    </row>
    <row r="252" spans="1:1" x14ac:dyDescent="0.3">
      <c r="A252">
        <v>65430</v>
      </c>
    </row>
    <row r="253" spans="1:1" x14ac:dyDescent="0.3">
      <c r="A253">
        <v>28650</v>
      </c>
    </row>
    <row r="254" spans="1:1" x14ac:dyDescent="0.3">
      <c r="A254">
        <v>1800</v>
      </c>
    </row>
    <row r="255" spans="1:1" x14ac:dyDescent="0.3">
      <c r="A255">
        <v>2370</v>
      </c>
    </row>
    <row r="256" spans="1:1" x14ac:dyDescent="0.3">
      <c r="A256">
        <v>61980</v>
      </c>
    </row>
    <row r="257" spans="1:1" x14ac:dyDescent="0.3">
      <c r="A257">
        <v>11190</v>
      </c>
    </row>
    <row r="258" spans="1:1" x14ac:dyDescent="0.3">
      <c r="A258">
        <v>55320</v>
      </c>
    </row>
    <row r="259" spans="1:1" x14ac:dyDescent="0.3">
      <c r="A259">
        <v>6149</v>
      </c>
    </row>
    <row r="260" spans="1:1" x14ac:dyDescent="0.3">
      <c r="A260">
        <v>28260</v>
      </c>
    </row>
    <row r="261" spans="1:1" x14ac:dyDescent="0.3">
      <c r="A261">
        <v>4020</v>
      </c>
    </row>
    <row r="262" spans="1:1" x14ac:dyDescent="0.3">
      <c r="A262">
        <v>7530</v>
      </c>
    </row>
    <row r="263" spans="1:1" x14ac:dyDescent="0.3">
      <c r="A263">
        <v>19440</v>
      </c>
    </row>
    <row r="264" spans="1:1" x14ac:dyDescent="0.3">
      <c r="A264">
        <v>63810</v>
      </c>
    </row>
    <row r="265" spans="1:1" x14ac:dyDescent="0.3">
      <c r="A265">
        <v>21300</v>
      </c>
    </row>
    <row r="266" spans="1:1" x14ac:dyDescent="0.3">
      <c r="A266">
        <v>60090</v>
      </c>
    </row>
    <row r="267" spans="1:1" x14ac:dyDescent="0.3">
      <c r="A267">
        <v>57600</v>
      </c>
    </row>
    <row r="268" spans="1:1" x14ac:dyDescent="0.3">
      <c r="A268">
        <v>18150</v>
      </c>
    </row>
    <row r="269" spans="1:1" x14ac:dyDescent="0.3">
      <c r="A269">
        <v>58560</v>
      </c>
    </row>
    <row r="270" spans="1:1" x14ac:dyDescent="0.3">
      <c r="A270">
        <v>21300</v>
      </c>
    </row>
    <row r="271" spans="1:1" x14ac:dyDescent="0.3">
      <c r="A271">
        <v>53940</v>
      </c>
    </row>
    <row r="272" spans="1:1" x14ac:dyDescent="0.3">
      <c r="A272">
        <v>64890</v>
      </c>
    </row>
    <row r="273" spans="1:1" x14ac:dyDescent="0.3">
      <c r="A273">
        <v>8940</v>
      </c>
    </row>
    <row r="274" spans="1:1" x14ac:dyDescent="0.3">
      <c r="A274">
        <v>7560</v>
      </c>
    </row>
    <row r="275" spans="1:1" x14ac:dyDescent="0.3">
      <c r="A275">
        <v>15660</v>
      </c>
    </row>
    <row r="276" spans="1:1" x14ac:dyDescent="0.3">
      <c r="A276">
        <v>22320</v>
      </c>
    </row>
    <row r="277" spans="1:1" x14ac:dyDescent="0.3">
      <c r="A277">
        <v>115</v>
      </c>
    </row>
    <row r="278" spans="1:1" x14ac:dyDescent="0.3">
      <c r="A278">
        <v>21570</v>
      </c>
    </row>
    <row r="279" spans="1:1" x14ac:dyDescent="0.3">
      <c r="A279">
        <v>25920</v>
      </c>
    </row>
    <row r="280" spans="1:1" x14ac:dyDescent="0.3">
      <c r="A280">
        <v>61440</v>
      </c>
    </row>
    <row r="281" spans="1:1" x14ac:dyDescent="0.3">
      <c r="A281">
        <v>56820</v>
      </c>
    </row>
    <row r="282" spans="1:1" x14ac:dyDescent="0.3">
      <c r="A282">
        <v>65040</v>
      </c>
    </row>
    <row r="283" spans="1:1" x14ac:dyDescent="0.3">
      <c r="A283">
        <v>61620</v>
      </c>
    </row>
    <row r="284" spans="1:1" x14ac:dyDescent="0.3">
      <c r="A284">
        <v>25050</v>
      </c>
    </row>
    <row r="285" spans="1:1" x14ac:dyDescent="0.3">
      <c r="A285">
        <v>37020</v>
      </c>
    </row>
    <row r="286" spans="1:1" x14ac:dyDescent="0.3">
      <c r="A286">
        <v>65100</v>
      </c>
    </row>
    <row r="287" spans="1:1" x14ac:dyDescent="0.3">
      <c r="A287">
        <v>54690</v>
      </c>
    </row>
    <row r="288" spans="1:1" x14ac:dyDescent="0.3">
      <c r="A288">
        <v>48270</v>
      </c>
    </row>
    <row r="289" spans="1:1" x14ac:dyDescent="0.3">
      <c r="A289">
        <v>21990</v>
      </c>
    </row>
    <row r="290" spans="1:1" x14ac:dyDescent="0.3">
      <c r="A290">
        <v>55920</v>
      </c>
    </row>
    <row r="291" spans="1:1" x14ac:dyDescent="0.3">
      <c r="A291">
        <v>58050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CAB9-4FF9-4FAD-A028-8A89E8769C7B}">
  <dimension ref="A1:G12"/>
  <sheetViews>
    <sheetView tabSelected="1" zoomScale="85" zoomScaleNormal="85" workbookViewId="0">
      <selection activeCell="E19" sqref="E19"/>
    </sheetView>
  </sheetViews>
  <sheetFormatPr defaultRowHeight="14.4" x14ac:dyDescent="0.3"/>
  <sheetData>
    <row r="1" spans="1:7" x14ac:dyDescent="0.3">
      <c r="A1" s="10" t="s">
        <v>13</v>
      </c>
      <c r="B1" s="10"/>
      <c r="C1" s="11" t="s">
        <v>14</v>
      </c>
      <c r="D1" s="11" t="s">
        <v>11</v>
      </c>
      <c r="E1" s="11" t="s">
        <v>15</v>
      </c>
      <c r="F1" s="11" t="s">
        <v>16</v>
      </c>
      <c r="G1" s="11" t="s">
        <v>12</v>
      </c>
    </row>
    <row r="2" spans="1:7" x14ac:dyDescent="0.3">
      <c r="A2" s="12">
        <v>25</v>
      </c>
      <c r="B2" s="12">
        <v>6895.5</v>
      </c>
      <c r="C2" s="13">
        <f>(A2+B2)/2</f>
        <v>3460.25</v>
      </c>
      <c r="D2" s="14">
        <v>76</v>
      </c>
      <c r="E2" s="14">
        <f>D2</f>
        <v>76</v>
      </c>
      <c r="F2" s="15">
        <f>D2/$E$11</f>
        <v>0.26297577854671278</v>
      </c>
      <c r="G2" s="15">
        <v>0.26297577854671278</v>
      </c>
    </row>
    <row r="3" spans="1:7" x14ac:dyDescent="0.3">
      <c r="A3" s="12">
        <v>6895.5</v>
      </c>
      <c r="B3" s="12">
        <v>13766</v>
      </c>
      <c r="C3" s="13">
        <f t="shared" ref="C3:C11" si="0">(A3+B3)/2</f>
        <v>10330.75</v>
      </c>
      <c r="D3" s="14">
        <v>55</v>
      </c>
      <c r="E3" s="14">
        <f>D3+E2</f>
        <v>131</v>
      </c>
      <c r="F3" s="15">
        <f t="shared" ref="F3:F11" si="1">D3/$E$11</f>
        <v>0.19031141868512111</v>
      </c>
      <c r="G3" s="15">
        <v>0.45328719723183392</v>
      </c>
    </row>
    <row r="4" spans="1:7" x14ac:dyDescent="0.3">
      <c r="A4" s="12">
        <v>13766</v>
      </c>
      <c r="B4" s="12">
        <v>20636.5</v>
      </c>
      <c r="C4" s="13">
        <f t="shared" si="0"/>
        <v>17201.25</v>
      </c>
      <c r="D4" s="14">
        <v>21</v>
      </c>
      <c r="E4" s="14">
        <f t="shared" ref="E4:E11" si="2">D4+E3</f>
        <v>152</v>
      </c>
      <c r="F4" s="15">
        <f t="shared" si="1"/>
        <v>7.2664359861591699E-2</v>
      </c>
      <c r="G4" s="15">
        <v>0.52595155709342556</v>
      </c>
    </row>
    <row r="5" spans="1:7" x14ac:dyDescent="0.3">
      <c r="A5" s="12">
        <v>20636.5</v>
      </c>
      <c r="B5" s="12">
        <v>27507</v>
      </c>
      <c r="C5" s="13">
        <f t="shared" si="0"/>
        <v>24071.75</v>
      </c>
      <c r="D5" s="14">
        <v>32</v>
      </c>
      <c r="E5" s="14">
        <f t="shared" si="2"/>
        <v>184</v>
      </c>
      <c r="F5" s="15">
        <f t="shared" si="1"/>
        <v>0.11072664359861592</v>
      </c>
      <c r="G5" s="15">
        <v>0.63667820069204151</v>
      </c>
    </row>
    <row r="6" spans="1:7" x14ac:dyDescent="0.3">
      <c r="A6" s="12">
        <v>27507</v>
      </c>
      <c r="B6" s="12">
        <v>34377.5</v>
      </c>
      <c r="C6" s="13">
        <f t="shared" si="0"/>
        <v>30942.25</v>
      </c>
      <c r="D6" s="14">
        <v>30</v>
      </c>
      <c r="E6" s="14">
        <f t="shared" si="2"/>
        <v>214</v>
      </c>
      <c r="F6" s="15">
        <f t="shared" si="1"/>
        <v>0.10380622837370242</v>
      </c>
      <c r="G6" s="15">
        <v>0.74048442906574397</v>
      </c>
    </row>
    <row r="7" spans="1:7" x14ac:dyDescent="0.3">
      <c r="A7" s="12">
        <v>34377.5</v>
      </c>
      <c r="B7" s="12">
        <v>41248</v>
      </c>
      <c r="C7" s="13">
        <f t="shared" si="0"/>
        <v>37812.75</v>
      </c>
      <c r="D7" s="14">
        <v>20</v>
      </c>
      <c r="E7" s="14">
        <f t="shared" si="2"/>
        <v>234</v>
      </c>
      <c r="F7" s="15">
        <f t="shared" si="1"/>
        <v>6.9204152249134954E-2</v>
      </c>
      <c r="G7" s="15">
        <v>0.80968858131487886</v>
      </c>
    </row>
    <row r="8" spans="1:7" x14ac:dyDescent="0.3">
      <c r="A8" s="12">
        <v>41248</v>
      </c>
      <c r="B8" s="12">
        <v>48118.5</v>
      </c>
      <c r="C8" s="13">
        <f t="shared" si="0"/>
        <v>44683.25</v>
      </c>
      <c r="D8" s="14">
        <v>2</v>
      </c>
      <c r="E8" s="14">
        <f t="shared" si="2"/>
        <v>236</v>
      </c>
      <c r="F8" s="15">
        <f t="shared" si="1"/>
        <v>6.920415224913495E-3</v>
      </c>
      <c r="G8" s="15">
        <v>0.81660899653979235</v>
      </c>
    </row>
    <row r="9" spans="1:7" x14ac:dyDescent="0.3">
      <c r="A9" s="12">
        <v>48118.5</v>
      </c>
      <c r="B9" s="12">
        <v>54989</v>
      </c>
      <c r="C9" s="13">
        <f t="shared" si="0"/>
        <v>51553.75</v>
      </c>
      <c r="D9" s="14">
        <v>19</v>
      </c>
      <c r="E9" s="14">
        <f t="shared" si="2"/>
        <v>255</v>
      </c>
      <c r="F9" s="15">
        <f t="shared" si="1"/>
        <v>6.5743944636678195E-2</v>
      </c>
      <c r="G9" s="15">
        <v>0.88235294117647056</v>
      </c>
    </row>
    <row r="10" spans="1:7" x14ac:dyDescent="0.3">
      <c r="A10" s="12">
        <v>54989</v>
      </c>
      <c r="B10" s="12">
        <v>61859.5</v>
      </c>
      <c r="C10" s="13">
        <f t="shared" si="0"/>
        <v>58424.25</v>
      </c>
      <c r="D10" s="14">
        <v>22</v>
      </c>
      <c r="E10" s="14">
        <f t="shared" si="2"/>
        <v>277</v>
      </c>
      <c r="F10" s="15">
        <f t="shared" si="1"/>
        <v>7.6124567474048443E-2</v>
      </c>
      <c r="G10" s="15">
        <v>0.95847750865051906</v>
      </c>
    </row>
    <row r="11" spans="1:7" x14ac:dyDescent="0.3">
      <c r="A11" s="12">
        <v>61859.5</v>
      </c>
      <c r="B11" s="12">
        <v>68730</v>
      </c>
      <c r="C11" s="13">
        <f t="shared" si="0"/>
        <v>65294.75</v>
      </c>
      <c r="D11" s="14">
        <v>12</v>
      </c>
      <c r="E11" s="14">
        <f t="shared" si="2"/>
        <v>289</v>
      </c>
      <c r="F11" s="15">
        <f t="shared" si="1"/>
        <v>4.1522491349480967E-2</v>
      </c>
      <c r="G11" s="15">
        <v>1</v>
      </c>
    </row>
    <row r="12" spans="1:7" ht="15" thickBot="1" x14ac:dyDescent="0.35">
      <c r="C12" s="8" t="s">
        <v>10</v>
      </c>
      <c r="D12" s="8">
        <v>0</v>
      </c>
      <c r="E12" s="8"/>
      <c r="F12" s="8"/>
      <c r="G12" s="9">
        <v>1</v>
      </c>
    </row>
  </sheetData>
  <sortState xmlns:xlrd2="http://schemas.microsoft.com/office/spreadsheetml/2017/richdata2" ref="C2:C11">
    <sortCondition ref="C2"/>
  </sortState>
  <mergeCells count="1">
    <mergeCell ref="A1:B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4A9F38-5700-4FC9-A308-1FA0DE6F5A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datos_crudos</vt:lpstr>
      <vt:lpstr>tabla_frecuencias</vt:lpstr>
      <vt:lpstr>grafica_frecuencias</vt:lpstr>
      <vt:lpstr>tabla_f_tiempo</vt:lpstr>
      <vt:lpstr>graficas_tiempo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Fernandez</cp:lastModifiedBy>
  <dcterms:created xsi:type="dcterms:W3CDTF">2025-05-25T12:40:22Z</dcterms:created>
  <dcterms:modified xsi:type="dcterms:W3CDTF">2025-05-25T15:57:14Z</dcterms:modified>
</cp:coreProperties>
</file>